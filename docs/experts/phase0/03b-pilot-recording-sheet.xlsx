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Jobs" sheetId="2" state="visible" r:id="rId4"/>
    <sheet name="Gate" sheetId="3" state="visible" r:id="rId5"/>
    <sheet name="Lists" sheetId="4" state="visible" r:id="rId6"/>
    <sheet name="Example (synthetic)" sheetId="5" state="visible" r:id="rId7"/>
    <sheet name="Example g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<sst xmlns="http://schemas.openxmlformats.org/spreadsheetml/2006/main" count="222" uniqueCount="116">
  <si>
    <t xml:space="preserve">Pilot recording sheet and Phase 1 gate (product spec section 22 Phase 1, Appendix F)</t>
  </si>
  <si>
    <t xml:space="preserve">TABS: Jobs (one row per job) | Gate (pass or fail, formulas) | Lists (reference prices and pay from spec section 16) | Example (synthetic values, with its own gate).</t>
  </si>
  <si>
    <t xml:space="preserve">Record every field for every job and review weekly (F.3). Active minutes = time the expert actually worked, not elapsed time.</t>
  </si>
  <si>
    <t xml:space="preserve">Contribution per job = price paid - refund - (expert pay + payment fee + review cost + other cost). Spec 16.4 assumes other costs at 14% of price plus review cost; here you record actuals.</t>
  </si>
  <si>
    <t xml:space="preserve">Delivery times are date and time in one time zone. Enter the SAME zone in all three date columns.</t>
  </si>
  <si>
    <t xml:space="preserve">On time = delivered at or before the promised delivery. Hours to delivery = delivered minus paid.</t>
  </si>
  <si>
    <t xml:space="preserve">Yellow = decision for the owner. Blue = input. Black = formula.</t>
  </si>
  <si>
    <t xml:space="preserve">Known spec conflicts shown on the Gate tab: revision threshold (20% vs 15%) and contribution threshold ($25 vs $30). This sheet uses section 22 (the Phase 1 gate) until the owner decides.</t>
  </si>
  <si>
    <t xml:space="preserve">Never enter client names or contact details.</t>
  </si>
  <si>
    <t xml:space="preserve">Pilot recording sheet: one row per job</t>
  </si>
  <si>
    <t xml:space="preserve">Blue = type in. Black = formula. Capped pilot: 20 to 30 orders (spec F.3). 40 rows are formula-ready. Never type client names or contact details here. Use Job IDs.</t>
  </si>
  <si>
    <t xml:space="preserve">Job ID</t>
  </si>
  <si>
    <t xml:space="preserve">Tier</t>
  </si>
  <si>
    <t xml:space="preserve">Cover letter (Y/N)</t>
  </si>
  <si>
    <t xml:space="preserve">Expert ID</t>
  </si>
  <si>
    <t xml:space="preserve">Client region</t>
  </si>
  <si>
    <t xml:space="preserve">Paid at (date and time)</t>
  </si>
  <si>
    <t xml:space="preserve">Promised delivery (date and time)</t>
  </si>
  <si>
    <t xml:space="preserve">Delivered at (date and time)</t>
  </si>
  <si>
    <t xml:space="preserve">Price paid ($)</t>
  </si>
  <si>
    <t xml:space="preserve">Expert active minutes</t>
  </si>
  <si>
    <t xml:space="preserve">Questions asked</t>
  </si>
  <si>
    <t xml:space="preserve">Questions answered (count)</t>
  </si>
  <si>
    <t xml:space="preserve">Revision requested (Y/N)</t>
  </si>
  <si>
    <t xml:space="preserve">Revision reason</t>
  </si>
  <si>
    <t xml:space="preserve">Score before</t>
  </si>
  <si>
    <t xml:space="preserve">Score after</t>
  </si>
  <si>
    <t xml:space="preserve">Client rating (1-5)</t>
  </si>
  <si>
    <t xml:space="preserve">Refund amount ($)</t>
  </si>
  <si>
    <t xml:space="preserve">Refund reason</t>
  </si>
  <si>
    <t xml:space="preserve">Expert pay ($)</t>
  </si>
  <si>
    <t xml:space="preserve">Payment fee ($)</t>
  </si>
  <si>
    <t xml:space="preserve">Review cost ($)</t>
  </si>
  <si>
    <t xml:space="preserve">Other cost ($)</t>
  </si>
  <si>
    <t xml:space="preserve">Fact-drift catches (count)</t>
  </si>
  <si>
    <t xml:space="preserve">Privacy incident (Y/N)</t>
  </si>
  <si>
    <t xml:space="preserve">Invented fact reached client (Y/N)</t>
  </si>
  <si>
    <t xml:space="preserve">Notes</t>
  </si>
  <si>
    <t xml:space="preserve">Hours to delivery</t>
  </si>
  <si>
    <t xml:space="preserve">Hours late (0 if on time)</t>
  </si>
  <si>
    <t xml:space="preserve">On time? (1/0)</t>
  </si>
  <si>
    <t xml:space="preserve">Score change</t>
  </si>
  <si>
    <t xml:space="preserve">Revision (1/0)</t>
  </si>
  <si>
    <t xml:space="preserve">Refunded (1/0)</t>
  </si>
  <si>
    <t xml:space="preserve">Total cost ($)</t>
  </si>
  <si>
    <t xml:space="preserve">Net revenue ($)</t>
  </si>
  <si>
    <t xml:space="preserve">Contribution ($)</t>
  </si>
  <si>
    <t xml:space="preserve">Contribution %</t>
  </si>
  <si>
    <t xml:space="preserve">Phase 1 gate: pass or fail</t>
  </si>
  <si>
    <t xml:space="preserve">Thresholds are the product spec section 22 (Phase 1) gate. They are inputs: change a blue value only if you decide to. Section 23 lists different targets for two items (see column F).</t>
  </si>
  <si>
    <t xml:space="preserve">Measure</t>
  </si>
  <si>
    <t xml:space="preserve">Result</t>
  </si>
  <si>
    <t xml:space="preserve">Threshold (input)</t>
  </si>
  <si>
    <t xml:space="preserve">Test</t>
  </si>
  <si>
    <t xml:space="preserve">Pass?</t>
  </si>
  <si>
    <t xml:space="preserve">Note / spec reference</t>
  </si>
  <si>
    <t xml:space="preserve">Paid orders (jobs with a price)</t>
  </si>
  <si>
    <t xml:space="preserve">&gt;=</t>
  </si>
  <si>
    <t xml:space="preserve">Spec 22: 20 or more paid orders. Pilot cap is 20 to 30 (F.3).</t>
  </si>
  <si>
    <t xml:space="preserve">On-time delivery %</t>
  </si>
  <si>
    <t xml:space="preserve">Spec 22: at least 95%.</t>
  </si>
  <si>
    <t xml:space="preserve">Average client rating</t>
  </si>
  <si>
    <t xml:space="preserve">Spec 22: at least 4.5.</t>
  </si>
  <si>
    <t xml:space="preserve">Revision rate</t>
  </si>
  <si>
    <t xml:space="preserve">&lt;</t>
  </si>
  <si>
    <t xml:space="preserve">Spec 22: under 20%. CONFLICT: section 23 target says under 15%. Owner to choose.</t>
  </si>
  <si>
    <t xml:space="preserve">Refund rate (jobs with a refund / paid jobs)</t>
  </si>
  <si>
    <t xml:space="preserve">Spec 22: under 8%. Counted by job; spec does not say count or value. Owner to confirm.</t>
  </si>
  <si>
    <t xml:space="preserve">Average contribution per job ($)</t>
  </si>
  <si>
    <t xml:space="preserve">Spec 22: at least $25. CONFLICT: section 23 target says $30. Owner to choose.</t>
  </si>
  <si>
    <t xml:space="preserve">Contribution % (total contribution / total price paid)</t>
  </si>
  <si>
    <t xml:space="preserve">Spec 22: at least 25%.</t>
  </si>
  <si>
    <t xml:space="preserve">Average expert active minutes</t>
  </si>
  <si>
    <t xml:space="preserve">&lt;=</t>
  </si>
  <si>
    <t xml:space="preserve">Spec 22: measured expert time at most 75 minutes.</t>
  </si>
  <si>
    <t xml:space="preserve">Experts willing to continue at the pay (1 = yes, 0 = no)</t>
  </si>
  <si>
    <t xml:space="preserve">Enter after asking every pilot expert. Blank until then.</t>
  </si>
  <si>
    <t xml:space="preserve">PHASE 1 GATE RESULT</t>
  </si>
  <si>
    <t xml:space="preserve">KILL OR ADJUST CHECKS (spec 22)</t>
  </si>
  <si>
    <t xml:space="preserve">Average expert minutes over 120 (raise price or move buyers to polish)</t>
  </si>
  <si>
    <t xml:space="preserve">Refund rate over 15% (stop and fix quality)</t>
  </si>
  <si>
    <t xml:space="preserve">Average rating under 4.0 (stop and fix quality)</t>
  </si>
  <si>
    <t xml:space="preserve">Privacy incident recorded (spec F.3: stop at once)</t>
  </si>
  <si>
    <t xml:space="preserve">Invented fact reached a client (spec F.3: stop at once)</t>
  </si>
  <si>
    <t xml:space="preserve">PILOT QUESTIONS (F.1): descriptive</t>
  </si>
  <si>
    <t xml:space="preserve">Fact-drift catches (total)</t>
  </si>
  <si>
    <t xml:space="preserve">Questions asked per job (average)</t>
  </si>
  <si>
    <t xml:space="preserve">Average score gain (after minus before)</t>
  </si>
  <si>
    <t xml:space="preserve">Average hours to delivery</t>
  </si>
  <si>
    <t xml:space="preserve">Reference from product spec v2.2 section 16 (headline prices and Standard payouts). For checking, not used in formulas.</t>
  </si>
  <si>
    <t xml:space="preserve">Spec price ($)</t>
  </si>
  <si>
    <t xml:space="preserve">Spec Standard payout ($)</t>
  </si>
  <si>
    <t xml:space="preserve">Spec timing</t>
  </si>
  <si>
    <t xml:space="preserve">Polish</t>
  </si>
  <si>
    <t xml:space="preserve">Turnaround not defined in spec (flagged)</t>
  </si>
  <si>
    <t xml:space="preserve">Rewrite 7d</t>
  </si>
  <si>
    <t xml:space="preserve">7 days</t>
  </si>
  <si>
    <t xml:space="preserve">Rewrite 48h</t>
  </si>
  <si>
    <t xml:space="preserve">48 hours</t>
  </si>
  <si>
    <t xml:space="preserve">Rewrite 24h</t>
  </si>
  <si>
    <t xml:space="preserve">24 hours (only when founder can rescue)</t>
  </si>
  <si>
    <t xml:space="preserve">Cover letter add-on</t>
  </si>
  <si>
    <t xml:space="preserve">Pilot recording sheet: one row per job (EXAMPLE, synthetic values)</t>
  </si>
  <si>
    <t xml:space="preserve">J-001</t>
  </si>
  <si>
    <t xml:space="preserve">N</t>
  </si>
  <si>
    <t xml:space="preserve">E-01</t>
  </si>
  <si>
    <t xml:space="preserve">US</t>
  </si>
  <si>
    <t xml:space="preserve">J-002</t>
  </si>
  <si>
    <t xml:space="preserve">Y</t>
  </si>
  <si>
    <t xml:space="preserve">E-02</t>
  </si>
  <si>
    <t xml:space="preserve">UK</t>
  </si>
  <si>
    <t xml:space="preserve">Wanted a different summary emphasis</t>
  </si>
  <si>
    <t xml:space="preserve">3 hours late (credit applies per spec 6.6)</t>
  </si>
  <si>
    <t xml:space="preserve">J-003</t>
  </si>
  <si>
    <t xml:space="preserve">KE</t>
  </si>
  <si>
    <t xml:space="preserve">Polish promised-delivery shown as an example only: spec defines no polish deadline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</si>
</sst>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"/>
    <numFmt numFmtId="166" formatCode="#,##0.00"/>
    <numFmt numFmtId="167" formatCode="0.0%"/>
    <numFmt numFmtId="168" formatCode="0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  <col collapsed="false" customWidth="true" hidden="false" outlineLevel="0" max="14" min="14" style="0" width="28"/>
    <col collapsed="false" customWidth="true" hidden="false" outlineLevel="0" max="18" min="15" style="0" width="14"/>
    <col collapsed="false" customWidth="true" hidden="false" outlineLevel="0" max="19" min="19" style="0" width="28"/>
    <col collapsed="false" customWidth="true" hidden="false" outlineLevel="0" max="26" min="20" style="0" width="14"/>
    <col collapsed="false" customWidth="true" hidden="false" outlineLevel="0" max="27" min="27" style="0" width="28"/>
    <col collapsed="false" customWidth="true" hidden="false" outlineLevel="0" max="37" min="28" style="0" width="14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3" customFormat="false" ht="48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4" t="s">
        <v>36</v>
      </c>
      <c r="AA3" s="4" t="s">
        <v>37</v>
      </c>
      <c r="AB3" s="5" t="s">
        <v>38</v>
      </c>
      <c r="AC3" s="5" t="s">
        <v>39</v>
      </c>
      <c r="AD3" s="5" t="s">
        <v>40</v>
      </c>
      <c r="AE3" s="5" t="s">
        <v>41</v>
      </c>
      <c r="AF3" s="5" t="s">
        <v>42</v>
      </c>
      <c r="AG3" s="5" t="s">
        <v>43</v>
      </c>
      <c r="AH3" s="5" t="s">
        <v>44</v>
      </c>
      <c r="AI3" s="5" t="s">
        <v>45</v>
      </c>
      <c r="AJ3" s="5" t="s">
        <v>46</v>
      </c>
      <c r="AK3" s="5" t="s">
        <v>47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7"/>
      <c r="G4" s="7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8" t="str">
        <f aca="false">IF(OR(F4="",H4=""),"",ROUND((H4-F4)*24,1))</f>
        <v/>
      </c>
      <c r="AC4" s="8" t="str">
        <f aca="false">IF(OR(G4="",H4=""),"",MAX(0,ROUND((H4-G4)*24,1)))</f>
        <v/>
      </c>
      <c r="AD4" s="8" t="str">
        <f aca="false">IF(AC4="","",IF(AC4=0,1,0))</f>
        <v/>
      </c>
      <c r="AE4" s="8" t="str">
        <f aca="false">IF(OR(O4="",P4=""),"",P4-O4)</f>
        <v/>
      </c>
      <c r="AF4" s="8" t="str">
        <f aca="false">IF(A4="","",IF(UPPER(M4)="Y",1,0))</f>
        <v/>
      </c>
      <c r="AG4" s="8" t="str">
        <f aca="false">IF(A4="","",IF(N(R4)&gt;0,1,0))</f>
        <v/>
      </c>
      <c r="AH4" s="9" t="str">
        <f aca="false">IF(I4="","",N(T4)+N(U4)+N(V4)+N(W4))</f>
        <v/>
      </c>
      <c r="AI4" s="9" t="str">
        <f aca="false">IF(I4="","",I4-N(R4))</f>
        <v/>
      </c>
      <c r="AJ4" s="9" t="str">
        <f aca="false">IF(I4="","",AI4-AH4)</f>
        <v/>
      </c>
      <c r="AK4" s="10" t="str">
        <f aca="false">IF(I4="","",IF(I4=0,"",AJ4/I4))</f>
        <v/>
      </c>
    </row>
    <row r="5" customFormat="false" ht="15" hidden="false" customHeight="false" outlineLevel="0" collapsed="false">
      <c r="A5" s="6"/>
      <c r="B5" s="6"/>
      <c r="C5" s="6"/>
      <c r="D5" s="6"/>
      <c r="E5" s="6"/>
      <c r="F5" s="7"/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8" t="str">
        <f aca="false">IF(OR(F5="",H5=""),"",ROUND((H5-F5)*24,1))</f>
        <v/>
      </c>
      <c r="AC5" s="8" t="str">
        <f aca="false">IF(OR(G5="",H5=""),"",MAX(0,ROUND((H5-G5)*24,1)))</f>
        <v/>
      </c>
      <c r="AD5" s="8" t="str">
        <f aca="false">IF(AC5="","",IF(AC5=0,1,0))</f>
        <v/>
      </c>
      <c r="AE5" s="8" t="str">
        <f aca="false">IF(OR(O5="",P5=""),"",P5-O5)</f>
        <v/>
      </c>
      <c r="AF5" s="8" t="str">
        <f aca="false">IF(A5="","",IF(UPPER(M5)="Y",1,0))</f>
        <v/>
      </c>
      <c r="AG5" s="8" t="str">
        <f aca="false">IF(A5="","",IF(N(R5)&gt;0,1,0))</f>
        <v/>
      </c>
      <c r="AH5" s="9" t="str">
        <f aca="false">IF(I5="","",N(T5)+N(U5)+N(V5)+N(W5))</f>
        <v/>
      </c>
      <c r="AI5" s="9" t="str">
        <f aca="false">IF(I5="","",I5-N(R5))</f>
        <v/>
      </c>
      <c r="AJ5" s="9" t="str">
        <f aca="false">IF(I5="","",AI5-AH5)</f>
        <v/>
      </c>
      <c r="AK5" s="10" t="str">
        <f aca="false">IF(I5="","",IF(I5=0,"",AJ5/I5))</f>
        <v/>
      </c>
    </row>
    <row r="6" customFormat="false" ht="15" hidden="false" customHeight="false" outlineLevel="0" collapsed="false">
      <c r="A6" s="6"/>
      <c r="B6" s="6"/>
      <c r="C6" s="6"/>
      <c r="D6" s="6"/>
      <c r="E6" s="6"/>
      <c r="F6" s="7"/>
      <c r="G6" s="7"/>
      <c r="H6" s="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8" t="str">
        <f aca="false">IF(OR(F6="",H6=""),"",ROUND((H6-F6)*24,1))</f>
        <v/>
      </c>
      <c r="AC6" s="8" t="str">
        <f aca="false">IF(OR(G6="",H6=""),"",MAX(0,ROUND((H6-G6)*24,1)))</f>
        <v/>
      </c>
      <c r="AD6" s="8" t="str">
        <f aca="false">IF(AC6="","",IF(AC6=0,1,0))</f>
        <v/>
      </c>
      <c r="AE6" s="8" t="str">
        <f aca="false">IF(OR(O6="",P6=""),"",P6-O6)</f>
        <v/>
      </c>
      <c r="AF6" s="8" t="str">
        <f aca="false">IF(A6="","",IF(UPPER(M6)="Y",1,0))</f>
        <v/>
      </c>
      <c r="AG6" s="8" t="str">
        <f aca="false">IF(A6="","",IF(N(R6)&gt;0,1,0))</f>
        <v/>
      </c>
      <c r="AH6" s="9" t="str">
        <f aca="false">IF(I6="","",N(T6)+N(U6)+N(V6)+N(W6))</f>
        <v/>
      </c>
      <c r="AI6" s="9" t="str">
        <f aca="false">IF(I6="","",I6-N(R6))</f>
        <v/>
      </c>
      <c r="AJ6" s="9" t="str">
        <f aca="false">IF(I6="","",AI6-AH6)</f>
        <v/>
      </c>
      <c r="AK6" s="10" t="str">
        <f aca="false">IF(I6="","",IF(I6=0,"",AJ6/I6))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7"/>
      <c r="G7" s="7"/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8" t="str">
        <f aca="false">IF(OR(F7="",H7=""),"",ROUND((H7-F7)*24,1))</f>
        <v/>
      </c>
      <c r="AC7" s="8" t="str">
        <f aca="false">IF(OR(G7="",H7=""),"",MAX(0,ROUND((H7-G7)*24,1)))</f>
        <v/>
      </c>
      <c r="AD7" s="8" t="str">
        <f aca="false">IF(AC7="","",IF(AC7=0,1,0))</f>
        <v/>
      </c>
      <c r="AE7" s="8" t="str">
        <f aca="false">IF(OR(O7="",P7=""),"",P7-O7)</f>
        <v/>
      </c>
      <c r="AF7" s="8" t="str">
        <f aca="false">IF(A7="","",IF(UPPER(M7)="Y",1,0))</f>
        <v/>
      </c>
      <c r="AG7" s="8" t="str">
        <f aca="false">IF(A7="","",IF(N(R7)&gt;0,1,0))</f>
        <v/>
      </c>
      <c r="AH7" s="9" t="str">
        <f aca="false">IF(I7="","",N(T7)+N(U7)+N(V7)+N(W7))</f>
        <v/>
      </c>
      <c r="AI7" s="9" t="str">
        <f aca="false">IF(I7="","",I7-N(R7))</f>
        <v/>
      </c>
      <c r="AJ7" s="9" t="str">
        <f aca="false">IF(I7="","",AI7-AH7)</f>
        <v/>
      </c>
      <c r="AK7" s="10" t="str">
        <f aca="false">IF(I7="","",IF(I7=0,"",AJ7/I7))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8" t="str">
        <f aca="false">IF(OR(F8="",H8=""),"",ROUND((H8-F8)*24,1))</f>
        <v/>
      </c>
      <c r="AC8" s="8" t="str">
        <f aca="false">IF(OR(G8="",H8=""),"",MAX(0,ROUND((H8-G8)*24,1)))</f>
        <v/>
      </c>
      <c r="AD8" s="8" t="str">
        <f aca="false">IF(AC8="","",IF(AC8=0,1,0))</f>
        <v/>
      </c>
      <c r="AE8" s="8" t="str">
        <f aca="false">IF(OR(O8="",P8=""),"",P8-O8)</f>
        <v/>
      </c>
      <c r="AF8" s="8" t="str">
        <f aca="false">IF(A8="","",IF(UPPER(M8)="Y",1,0))</f>
        <v/>
      </c>
      <c r="AG8" s="8" t="str">
        <f aca="false">IF(A8="","",IF(N(R8)&gt;0,1,0))</f>
        <v/>
      </c>
      <c r="AH8" s="9" t="str">
        <f aca="false">IF(I8="","",N(T8)+N(U8)+N(V8)+N(W8))</f>
        <v/>
      </c>
      <c r="AI8" s="9" t="str">
        <f aca="false">IF(I8="","",I8-N(R8))</f>
        <v/>
      </c>
      <c r="AJ8" s="9" t="str">
        <f aca="false">IF(I8="","",AI8-AH8)</f>
        <v/>
      </c>
      <c r="AK8" s="10" t="str">
        <f aca="false">IF(I8="","",IF(I8=0,"",AJ8/I8))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7"/>
      <c r="G9" s="7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 t="str">
        <f aca="false">IF(OR(F9="",H9=""),"",ROUND((H9-F9)*24,1))</f>
        <v/>
      </c>
      <c r="AC9" s="8" t="str">
        <f aca="false">IF(OR(G9="",H9=""),"",MAX(0,ROUND((H9-G9)*24,1)))</f>
        <v/>
      </c>
      <c r="AD9" s="8" t="str">
        <f aca="false">IF(AC9="","",IF(AC9=0,1,0))</f>
        <v/>
      </c>
      <c r="AE9" s="8" t="str">
        <f aca="false">IF(OR(O9="",P9=""),"",P9-O9)</f>
        <v/>
      </c>
      <c r="AF9" s="8" t="str">
        <f aca="false">IF(A9="","",IF(UPPER(M9)="Y",1,0))</f>
        <v/>
      </c>
      <c r="AG9" s="8" t="str">
        <f aca="false">IF(A9="","",IF(N(R9)&gt;0,1,0))</f>
        <v/>
      </c>
      <c r="AH9" s="9" t="str">
        <f aca="false">IF(I9="","",N(T9)+N(U9)+N(V9)+N(W9))</f>
        <v/>
      </c>
      <c r="AI9" s="9" t="str">
        <f aca="false">IF(I9="","",I9-N(R9))</f>
        <v/>
      </c>
      <c r="AJ9" s="9" t="str">
        <f aca="false">IF(I9="","",AI9-AH9)</f>
        <v/>
      </c>
      <c r="AK9" s="10" t="str">
        <f aca="false">IF(I9="","",IF(I9=0,"",AJ9/I9))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7"/>
      <c r="G10" s="7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8" t="str">
        <f aca="false">IF(OR(F10="",H10=""),"",ROUND((H10-F10)*24,1))</f>
        <v/>
      </c>
      <c r="AC10" s="8" t="str">
        <f aca="false">IF(OR(G10="",H10=""),"",MAX(0,ROUND((H10-G10)*24,1)))</f>
        <v/>
      </c>
      <c r="AD10" s="8" t="str">
        <f aca="false">IF(AC10="","",IF(AC10=0,1,0))</f>
        <v/>
      </c>
      <c r="AE10" s="8" t="str">
        <f aca="false">IF(OR(O10="",P10=""),"",P10-O10)</f>
        <v/>
      </c>
      <c r="AF10" s="8" t="str">
        <f aca="false">IF(A10="","",IF(UPPER(M10)="Y",1,0))</f>
        <v/>
      </c>
      <c r="AG10" s="8" t="str">
        <f aca="false">IF(A10="","",IF(N(R10)&gt;0,1,0))</f>
        <v/>
      </c>
      <c r="AH10" s="9" t="str">
        <f aca="false">IF(I10="","",N(T10)+N(U10)+N(V10)+N(W10))</f>
        <v/>
      </c>
      <c r="AI10" s="9" t="str">
        <f aca="false">IF(I10="","",I10-N(R10))</f>
        <v/>
      </c>
      <c r="AJ10" s="9" t="str">
        <f aca="false">IF(I10="","",AI10-AH10)</f>
        <v/>
      </c>
      <c r="AK10" s="10" t="str">
        <f aca="false">IF(I10="","",IF(I10=0,"",AJ10/I10))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8" t="str">
        <f aca="false">IF(OR(F11="",H11=""),"",ROUND((H11-F11)*24,1))</f>
        <v/>
      </c>
      <c r="AC11" s="8" t="str">
        <f aca="false">IF(OR(G11="",H11=""),"",MAX(0,ROUND((H11-G11)*24,1)))</f>
        <v/>
      </c>
      <c r="AD11" s="8" t="str">
        <f aca="false">IF(AC11="","",IF(AC11=0,1,0))</f>
        <v/>
      </c>
      <c r="AE11" s="8" t="str">
        <f aca="false">IF(OR(O11="",P11=""),"",P11-O11)</f>
        <v/>
      </c>
      <c r="AF11" s="8" t="str">
        <f aca="false">IF(A11="","",IF(UPPER(M11)="Y",1,0))</f>
        <v/>
      </c>
      <c r="AG11" s="8" t="str">
        <f aca="false">IF(A11="","",IF(N(R11)&gt;0,1,0))</f>
        <v/>
      </c>
      <c r="AH11" s="9" t="str">
        <f aca="false">IF(I11="","",N(T11)+N(U11)+N(V11)+N(W11))</f>
        <v/>
      </c>
      <c r="AI11" s="9" t="str">
        <f aca="false">IF(I11="","",I11-N(R11))</f>
        <v/>
      </c>
      <c r="AJ11" s="9" t="str">
        <f aca="false">IF(I11="","",AI11-AH11)</f>
        <v/>
      </c>
      <c r="AK11" s="10" t="str">
        <f aca="false">IF(I11="","",IF(I11=0,"",AJ11/I11))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7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8" t="str">
        <f aca="false">IF(OR(F12="",H12=""),"",ROUND((H12-F12)*24,1))</f>
        <v/>
      </c>
      <c r="AC12" s="8" t="str">
        <f aca="false">IF(OR(G12="",H12=""),"",MAX(0,ROUND((H12-G12)*24,1)))</f>
        <v/>
      </c>
      <c r="AD12" s="8" t="str">
        <f aca="false">IF(AC12="","",IF(AC12=0,1,0))</f>
        <v/>
      </c>
      <c r="AE12" s="8" t="str">
        <f aca="false">IF(OR(O12="",P12=""),"",P12-O12)</f>
        <v/>
      </c>
      <c r="AF12" s="8" t="str">
        <f aca="false">IF(A12="","",IF(UPPER(M12)="Y",1,0))</f>
        <v/>
      </c>
      <c r="AG12" s="8" t="str">
        <f aca="false">IF(A12="","",IF(N(R12)&gt;0,1,0))</f>
        <v/>
      </c>
      <c r="AH12" s="9" t="str">
        <f aca="false">IF(I12="","",N(T12)+N(U12)+N(V12)+N(W12))</f>
        <v/>
      </c>
      <c r="AI12" s="9" t="str">
        <f aca="false">IF(I12="","",I12-N(R12))</f>
        <v/>
      </c>
      <c r="AJ12" s="9" t="str">
        <f aca="false">IF(I12="","",AI12-AH12)</f>
        <v/>
      </c>
      <c r="AK12" s="10" t="str">
        <f aca="false">IF(I12="","",IF(I12=0,"",AJ12/I12))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8" t="str">
        <f aca="false">IF(OR(F13="",H13=""),"",ROUND((H13-F13)*24,1))</f>
        <v/>
      </c>
      <c r="AC13" s="8" t="str">
        <f aca="false">IF(OR(G13="",H13=""),"",MAX(0,ROUND((H13-G13)*24,1)))</f>
        <v/>
      </c>
      <c r="AD13" s="8" t="str">
        <f aca="false">IF(AC13="","",IF(AC13=0,1,0))</f>
        <v/>
      </c>
      <c r="AE13" s="8" t="str">
        <f aca="false">IF(OR(O13="",P13=""),"",P13-O13)</f>
        <v/>
      </c>
      <c r="AF13" s="8" t="str">
        <f aca="false">IF(A13="","",IF(UPPER(M13)="Y",1,0))</f>
        <v/>
      </c>
      <c r="AG13" s="8" t="str">
        <f aca="false">IF(A13="","",IF(N(R13)&gt;0,1,0))</f>
        <v/>
      </c>
      <c r="AH13" s="9" t="str">
        <f aca="false">IF(I13="","",N(T13)+N(U13)+N(V13)+N(W13))</f>
        <v/>
      </c>
      <c r="AI13" s="9" t="str">
        <f aca="false">IF(I13="","",I13-N(R13))</f>
        <v/>
      </c>
      <c r="AJ13" s="9" t="str">
        <f aca="false">IF(I13="","",AI13-AH13)</f>
        <v/>
      </c>
      <c r="AK13" s="10" t="str">
        <f aca="false">IF(I13="","",IF(I13=0,"",AJ13/I13))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7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8" t="str">
        <f aca="false">IF(OR(F14="",H14=""),"",ROUND((H14-F14)*24,1))</f>
        <v/>
      </c>
      <c r="AC14" s="8" t="str">
        <f aca="false">IF(OR(G14="",H14=""),"",MAX(0,ROUND((H14-G14)*24,1)))</f>
        <v/>
      </c>
      <c r="AD14" s="8" t="str">
        <f aca="false">IF(AC14="","",IF(AC14=0,1,0))</f>
        <v/>
      </c>
      <c r="AE14" s="8" t="str">
        <f aca="false">IF(OR(O14="",P14=""),"",P14-O14)</f>
        <v/>
      </c>
      <c r="AF14" s="8" t="str">
        <f aca="false">IF(A14="","",IF(UPPER(M14)="Y",1,0))</f>
        <v/>
      </c>
      <c r="AG14" s="8" t="str">
        <f aca="false">IF(A14="","",IF(N(R14)&gt;0,1,0))</f>
        <v/>
      </c>
      <c r="AH14" s="9" t="str">
        <f aca="false">IF(I14="","",N(T14)+N(U14)+N(V14)+N(W14))</f>
        <v/>
      </c>
      <c r="AI14" s="9" t="str">
        <f aca="false">IF(I14="","",I14-N(R14))</f>
        <v/>
      </c>
      <c r="AJ14" s="9" t="str">
        <f aca="false">IF(I14="","",AI14-AH14)</f>
        <v/>
      </c>
      <c r="AK14" s="10" t="str">
        <f aca="false">IF(I14="","",IF(I14=0,"",AJ14/I14))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7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8" t="str">
        <f aca="false">IF(OR(F15="",H15=""),"",ROUND((H15-F15)*24,1))</f>
        <v/>
      </c>
      <c r="AC15" s="8" t="str">
        <f aca="false">IF(OR(G15="",H15=""),"",MAX(0,ROUND((H15-G15)*24,1)))</f>
        <v/>
      </c>
      <c r="AD15" s="8" t="str">
        <f aca="false">IF(AC15="","",IF(AC15=0,1,0))</f>
        <v/>
      </c>
      <c r="AE15" s="8" t="str">
        <f aca="false">IF(OR(O15="",P15=""),"",P15-O15)</f>
        <v/>
      </c>
      <c r="AF15" s="8" t="str">
        <f aca="false">IF(A15="","",IF(UPPER(M15)="Y",1,0))</f>
        <v/>
      </c>
      <c r="AG15" s="8" t="str">
        <f aca="false">IF(A15="","",IF(N(R15)&gt;0,1,0))</f>
        <v/>
      </c>
      <c r="AH15" s="9" t="str">
        <f aca="false">IF(I15="","",N(T15)+N(U15)+N(V15)+N(W15))</f>
        <v/>
      </c>
      <c r="AI15" s="9" t="str">
        <f aca="false">IF(I15="","",I15-N(R15))</f>
        <v/>
      </c>
      <c r="AJ15" s="9" t="str">
        <f aca="false">IF(I15="","",AI15-AH15)</f>
        <v/>
      </c>
      <c r="AK15" s="10" t="str">
        <f aca="false">IF(I15="","",IF(I15=0,"",AJ15/I15))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8" t="str">
        <f aca="false">IF(OR(F16="",H16=""),"",ROUND((H16-F16)*24,1))</f>
        <v/>
      </c>
      <c r="AC16" s="8" t="str">
        <f aca="false">IF(OR(G16="",H16=""),"",MAX(0,ROUND((H16-G16)*24,1)))</f>
        <v/>
      </c>
      <c r="AD16" s="8" t="str">
        <f aca="false">IF(AC16="","",IF(AC16=0,1,0))</f>
        <v/>
      </c>
      <c r="AE16" s="8" t="str">
        <f aca="false">IF(OR(O16="",P16=""),"",P16-O16)</f>
        <v/>
      </c>
      <c r="AF16" s="8" t="str">
        <f aca="false">IF(A16="","",IF(UPPER(M16)="Y",1,0))</f>
        <v/>
      </c>
      <c r="AG16" s="8" t="str">
        <f aca="false">IF(A16="","",IF(N(R16)&gt;0,1,0))</f>
        <v/>
      </c>
      <c r="AH16" s="9" t="str">
        <f aca="false">IF(I16="","",N(T16)+N(U16)+N(V16)+N(W16))</f>
        <v/>
      </c>
      <c r="AI16" s="9" t="str">
        <f aca="false">IF(I16="","",I16-N(R16))</f>
        <v/>
      </c>
      <c r="AJ16" s="9" t="str">
        <f aca="false">IF(I16="","",AI16-AH16)</f>
        <v/>
      </c>
      <c r="AK16" s="10" t="str">
        <f aca="false">IF(I16="","",IF(I16=0,"",AJ16/I16))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8" t="str">
        <f aca="false">IF(OR(F17="",H17=""),"",ROUND((H17-F17)*24,1))</f>
        <v/>
      </c>
      <c r="AC17" s="8" t="str">
        <f aca="false">IF(OR(G17="",H17=""),"",MAX(0,ROUND((H17-G17)*24,1)))</f>
        <v/>
      </c>
      <c r="AD17" s="8" t="str">
        <f aca="false">IF(AC17="","",IF(AC17=0,1,0))</f>
        <v/>
      </c>
      <c r="AE17" s="8" t="str">
        <f aca="false">IF(OR(O17="",P17=""),"",P17-O17)</f>
        <v/>
      </c>
      <c r="AF17" s="8" t="str">
        <f aca="false">IF(A17="","",IF(UPPER(M17)="Y",1,0))</f>
        <v/>
      </c>
      <c r="AG17" s="8" t="str">
        <f aca="false">IF(A17="","",IF(N(R17)&gt;0,1,0))</f>
        <v/>
      </c>
      <c r="AH17" s="9" t="str">
        <f aca="false">IF(I17="","",N(T17)+N(U17)+N(V17)+N(W17))</f>
        <v/>
      </c>
      <c r="AI17" s="9" t="str">
        <f aca="false">IF(I17="","",I17-N(R17))</f>
        <v/>
      </c>
      <c r="AJ17" s="9" t="str">
        <f aca="false">IF(I17="","",AI17-AH17)</f>
        <v/>
      </c>
      <c r="AK17" s="10" t="str">
        <f aca="false">IF(I17="","",IF(I17=0,"",AJ17/I17))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7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8" t="str">
        <f aca="false">IF(OR(F18="",H18=""),"",ROUND((H18-F18)*24,1))</f>
        <v/>
      </c>
      <c r="AC18" s="8" t="str">
        <f aca="false">IF(OR(G18="",H18=""),"",MAX(0,ROUND((H18-G18)*24,1)))</f>
        <v/>
      </c>
      <c r="AD18" s="8" t="str">
        <f aca="false">IF(AC18="","",IF(AC18=0,1,0))</f>
        <v/>
      </c>
      <c r="AE18" s="8" t="str">
        <f aca="false">IF(OR(O18="",P18=""),"",P18-O18)</f>
        <v/>
      </c>
      <c r="AF18" s="8" t="str">
        <f aca="false">IF(A18="","",IF(UPPER(M18)="Y",1,0))</f>
        <v/>
      </c>
      <c r="AG18" s="8" t="str">
        <f aca="false">IF(A18="","",IF(N(R18)&gt;0,1,0))</f>
        <v/>
      </c>
      <c r="AH18" s="9" t="str">
        <f aca="false">IF(I18="","",N(T18)+N(U18)+N(V18)+N(W18))</f>
        <v/>
      </c>
      <c r="AI18" s="9" t="str">
        <f aca="false">IF(I18="","",I18-N(R18))</f>
        <v/>
      </c>
      <c r="AJ18" s="9" t="str">
        <f aca="false">IF(I18="","",AI18-AH18)</f>
        <v/>
      </c>
      <c r="AK18" s="10" t="str">
        <f aca="false">IF(I18="","",IF(I18=0,"",AJ18/I18))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8" t="str">
        <f aca="false">IF(OR(F19="",H19=""),"",ROUND((H19-F19)*24,1))</f>
        <v/>
      </c>
      <c r="AC19" s="8" t="str">
        <f aca="false">IF(OR(G19="",H19=""),"",MAX(0,ROUND((H19-G19)*24,1)))</f>
        <v/>
      </c>
      <c r="AD19" s="8" t="str">
        <f aca="false">IF(AC19="","",IF(AC19=0,1,0))</f>
        <v/>
      </c>
      <c r="AE19" s="8" t="str">
        <f aca="false">IF(OR(O19="",P19=""),"",P19-O19)</f>
        <v/>
      </c>
      <c r="AF19" s="8" t="str">
        <f aca="false">IF(A19="","",IF(UPPER(M19)="Y",1,0))</f>
        <v/>
      </c>
      <c r="AG19" s="8" t="str">
        <f aca="false">IF(A19="","",IF(N(R19)&gt;0,1,0))</f>
        <v/>
      </c>
      <c r="AH19" s="9" t="str">
        <f aca="false">IF(I19="","",N(T19)+N(U19)+N(V19)+N(W19))</f>
        <v/>
      </c>
      <c r="AI19" s="9" t="str">
        <f aca="false">IF(I19="","",I19-N(R19))</f>
        <v/>
      </c>
      <c r="AJ19" s="9" t="str">
        <f aca="false">IF(I19="","",AI19-AH19)</f>
        <v/>
      </c>
      <c r="AK19" s="10" t="str">
        <f aca="false">IF(I19="","",IF(I19=0,"",AJ19/I19))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7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8" t="str">
        <f aca="false">IF(OR(F20="",H20=""),"",ROUND((H20-F20)*24,1))</f>
        <v/>
      </c>
      <c r="AC20" s="8" t="str">
        <f aca="false">IF(OR(G20="",H20=""),"",MAX(0,ROUND((H20-G20)*24,1)))</f>
        <v/>
      </c>
      <c r="AD20" s="8" t="str">
        <f aca="false">IF(AC20="","",IF(AC20=0,1,0))</f>
        <v/>
      </c>
      <c r="AE20" s="8" t="str">
        <f aca="false">IF(OR(O20="",P20=""),"",P20-O20)</f>
        <v/>
      </c>
      <c r="AF20" s="8" t="str">
        <f aca="false">IF(A20="","",IF(UPPER(M20)="Y",1,0))</f>
        <v/>
      </c>
      <c r="AG20" s="8" t="str">
        <f aca="false">IF(A20="","",IF(N(R20)&gt;0,1,0))</f>
        <v/>
      </c>
      <c r="AH20" s="9" t="str">
        <f aca="false">IF(I20="","",N(T20)+N(U20)+N(V20)+N(W20))</f>
        <v/>
      </c>
      <c r="AI20" s="9" t="str">
        <f aca="false">IF(I20="","",I20-N(R20))</f>
        <v/>
      </c>
      <c r="AJ20" s="9" t="str">
        <f aca="false">IF(I20="","",AI20-AH20)</f>
        <v/>
      </c>
      <c r="AK20" s="10" t="str">
        <f aca="false">IF(I20="","",IF(I20=0,"",AJ20/I20))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7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8" t="str">
        <f aca="false">IF(OR(F21="",H21=""),"",ROUND((H21-F21)*24,1))</f>
        <v/>
      </c>
      <c r="AC21" s="8" t="str">
        <f aca="false">IF(OR(G21="",H21=""),"",MAX(0,ROUND((H21-G21)*24,1)))</f>
        <v/>
      </c>
      <c r="AD21" s="8" t="str">
        <f aca="false">IF(AC21="","",IF(AC21=0,1,0))</f>
        <v/>
      </c>
      <c r="AE21" s="8" t="str">
        <f aca="false">IF(OR(O21="",P21=""),"",P21-O21)</f>
        <v/>
      </c>
      <c r="AF21" s="8" t="str">
        <f aca="false">IF(A21="","",IF(UPPER(M21)="Y",1,0))</f>
        <v/>
      </c>
      <c r="AG21" s="8" t="str">
        <f aca="false">IF(A21="","",IF(N(R21)&gt;0,1,0))</f>
        <v/>
      </c>
      <c r="AH21" s="9" t="str">
        <f aca="false">IF(I21="","",N(T21)+N(U21)+N(V21)+N(W21))</f>
        <v/>
      </c>
      <c r="AI21" s="9" t="str">
        <f aca="false">IF(I21="","",I21-N(R21))</f>
        <v/>
      </c>
      <c r="AJ21" s="9" t="str">
        <f aca="false">IF(I21="","",AI21-AH21)</f>
        <v/>
      </c>
      <c r="AK21" s="10" t="str">
        <f aca="false">IF(I21="","",IF(I21=0,"",AJ21/I21))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7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8" t="str">
        <f aca="false">IF(OR(F22="",H22=""),"",ROUND((H22-F22)*24,1))</f>
        <v/>
      </c>
      <c r="AC22" s="8" t="str">
        <f aca="false">IF(OR(G22="",H22=""),"",MAX(0,ROUND((H22-G22)*24,1)))</f>
        <v/>
      </c>
      <c r="AD22" s="8" t="str">
        <f aca="false">IF(AC22="","",IF(AC22=0,1,0))</f>
        <v/>
      </c>
      <c r="AE22" s="8" t="str">
        <f aca="false">IF(OR(O22="",P22=""),"",P22-O22)</f>
        <v/>
      </c>
      <c r="AF22" s="8" t="str">
        <f aca="false">IF(A22="","",IF(UPPER(M22)="Y",1,0))</f>
        <v/>
      </c>
      <c r="AG22" s="8" t="str">
        <f aca="false">IF(A22="","",IF(N(R22)&gt;0,1,0))</f>
        <v/>
      </c>
      <c r="AH22" s="9" t="str">
        <f aca="false">IF(I22="","",N(T22)+N(U22)+N(V22)+N(W22))</f>
        <v/>
      </c>
      <c r="AI22" s="9" t="str">
        <f aca="false">IF(I22="","",I22-N(R22))</f>
        <v/>
      </c>
      <c r="AJ22" s="9" t="str">
        <f aca="false">IF(I22="","",AI22-AH22)</f>
        <v/>
      </c>
      <c r="AK22" s="10" t="str">
        <f aca="false">IF(I22="","",IF(I22=0,"",AJ22/I22))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8" t="str">
        <f aca="false">IF(OR(F23="",H23=""),"",ROUND((H23-F23)*24,1))</f>
        <v/>
      </c>
      <c r="AC23" s="8" t="str">
        <f aca="false">IF(OR(G23="",H23=""),"",MAX(0,ROUND((H23-G23)*24,1)))</f>
        <v/>
      </c>
      <c r="AD23" s="8" t="str">
        <f aca="false">IF(AC23="","",IF(AC23=0,1,0))</f>
        <v/>
      </c>
      <c r="AE23" s="8" t="str">
        <f aca="false">IF(OR(O23="",P23=""),"",P23-O23)</f>
        <v/>
      </c>
      <c r="AF23" s="8" t="str">
        <f aca="false">IF(A23="","",IF(UPPER(M23)="Y",1,0))</f>
        <v/>
      </c>
      <c r="AG23" s="8" t="str">
        <f aca="false">IF(A23="","",IF(N(R23)&gt;0,1,0))</f>
        <v/>
      </c>
      <c r="AH23" s="9" t="str">
        <f aca="false">IF(I23="","",N(T23)+N(U23)+N(V23)+N(W23))</f>
        <v/>
      </c>
      <c r="AI23" s="9" t="str">
        <f aca="false">IF(I23="","",I23-N(R23))</f>
        <v/>
      </c>
      <c r="AJ23" s="9" t="str">
        <f aca="false">IF(I23="","",AI23-AH23)</f>
        <v/>
      </c>
      <c r="AK23" s="10" t="str">
        <f aca="false">IF(I23="","",IF(I23=0,"",AJ23/I23))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8" t="str">
        <f aca="false">IF(OR(F24="",H24=""),"",ROUND((H24-F24)*24,1))</f>
        <v/>
      </c>
      <c r="AC24" s="8" t="str">
        <f aca="false">IF(OR(G24="",H24=""),"",MAX(0,ROUND((H24-G24)*24,1)))</f>
        <v/>
      </c>
      <c r="AD24" s="8" t="str">
        <f aca="false">IF(AC24="","",IF(AC24=0,1,0))</f>
        <v/>
      </c>
      <c r="AE24" s="8" t="str">
        <f aca="false">IF(OR(O24="",P24=""),"",P24-O24)</f>
        <v/>
      </c>
      <c r="AF24" s="8" t="str">
        <f aca="false">IF(A24="","",IF(UPPER(M24)="Y",1,0))</f>
        <v/>
      </c>
      <c r="AG24" s="8" t="str">
        <f aca="false">IF(A24="","",IF(N(R24)&gt;0,1,0))</f>
        <v/>
      </c>
      <c r="AH24" s="9" t="str">
        <f aca="false">IF(I24="","",N(T24)+N(U24)+N(V24)+N(W24))</f>
        <v/>
      </c>
      <c r="AI24" s="9" t="str">
        <f aca="false">IF(I24="","",I24-N(R24))</f>
        <v/>
      </c>
      <c r="AJ24" s="9" t="str">
        <f aca="false">IF(I24="","",AI24-AH24)</f>
        <v/>
      </c>
      <c r="AK24" s="10" t="str">
        <f aca="false">IF(I24="","",IF(I24=0,"",AJ24/I24))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7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8" t="str">
        <f aca="false">IF(OR(F25="",H25=""),"",ROUND((H25-F25)*24,1))</f>
        <v/>
      </c>
      <c r="AC25" s="8" t="str">
        <f aca="false">IF(OR(G25="",H25=""),"",MAX(0,ROUND((H25-G25)*24,1)))</f>
        <v/>
      </c>
      <c r="AD25" s="8" t="str">
        <f aca="false">IF(AC25="","",IF(AC25=0,1,0))</f>
        <v/>
      </c>
      <c r="AE25" s="8" t="str">
        <f aca="false">IF(OR(O25="",P25=""),"",P25-O25)</f>
        <v/>
      </c>
      <c r="AF25" s="8" t="str">
        <f aca="false">IF(A25="","",IF(UPPER(M25)="Y",1,0))</f>
        <v/>
      </c>
      <c r="AG25" s="8" t="str">
        <f aca="false">IF(A25="","",IF(N(R25)&gt;0,1,0))</f>
        <v/>
      </c>
      <c r="AH25" s="9" t="str">
        <f aca="false">IF(I25="","",N(T25)+N(U25)+N(V25)+N(W25))</f>
        <v/>
      </c>
      <c r="AI25" s="9" t="str">
        <f aca="false">IF(I25="","",I25-N(R25))</f>
        <v/>
      </c>
      <c r="AJ25" s="9" t="str">
        <f aca="false">IF(I25="","",AI25-AH25)</f>
        <v/>
      </c>
      <c r="AK25" s="10" t="str">
        <f aca="false">IF(I25="","",IF(I25=0,"",AJ25/I25))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7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8" t="str">
        <f aca="false">IF(OR(F26="",H26=""),"",ROUND((H26-F26)*24,1))</f>
        <v/>
      </c>
      <c r="AC26" s="8" t="str">
        <f aca="false">IF(OR(G26="",H26=""),"",MAX(0,ROUND((H26-G26)*24,1)))</f>
        <v/>
      </c>
      <c r="AD26" s="8" t="str">
        <f aca="false">IF(AC26="","",IF(AC26=0,1,0))</f>
        <v/>
      </c>
      <c r="AE26" s="8" t="str">
        <f aca="false">IF(OR(O26="",P26=""),"",P26-O26)</f>
        <v/>
      </c>
      <c r="AF26" s="8" t="str">
        <f aca="false">IF(A26="","",IF(UPPER(M26)="Y",1,0))</f>
        <v/>
      </c>
      <c r="AG26" s="8" t="str">
        <f aca="false">IF(A26="","",IF(N(R26)&gt;0,1,0))</f>
        <v/>
      </c>
      <c r="AH26" s="9" t="str">
        <f aca="false">IF(I26="","",N(T26)+N(U26)+N(V26)+N(W26))</f>
        <v/>
      </c>
      <c r="AI26" s="9" t="str">
        <f aca="false">IF(I26="","",I26-N(R26))</f>
        <v/>
      </c>
      <c r="AJ26" s="9" t="str">
        <f aca="false">IF(I26="","",AI26-AH26)</f>
        <v/>
      </c>
      <c r="AK26" s="10" t="str">
        <f aca="false">IF(I26="","",IF(I26=0,"",AJ26/I26))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8" t="str">
        <f aca="false">IF(OR(F27="",H27=""),"",ROUND((H27-F27)*24,1))</f>
        <v/>
      </c>
      <c r="AC27" s="8" t="str">
        <f aca="false">IF(OR(G27="",H27=""),"",MAX(0,ROUND((H27-G27)*24,1)))</f>
        <v/>
      </c>
      <c r="AD27" s="8" t="str">
        <f aca="false">IF(AC27="","",IF(AC27=0,1,0))</f>
        <v/>
      </c>
      <c r="AE27" s="8" t="str">
        <f aca="false">IF(OR(O27="",P27=""),"",P27-O27)</f>
        <v/>
      </c>
      <c r="AF27" s="8" t="str">
        <f aca="false">IF(A27="","",IF(UPPER(M27)="Y",1,0))</f>
        <v/>
      </c>
      <c r="AG27" s="8" t="str">
        <f aca="false">IF(A27="","",IF(N(R27)&gt;0,1,0))</f>
        <v/>
      </c>
      <c r="AH27" s="9" t="str">
        <f aca="false">IF(I27="","",N(T27)+N(U27)+N(V27)+N(W27))</f>
        <v/>
      </c>
      <c r="AI27" s="9" t="str">
        <f aca="false">IF(I27="","",I27-N(R27))</f>
        <v/>
      </c>
      <c r="AJ27" s="9" t="str">
        <f aca="false">IF(I27="","",AI27-AH27)</f>
        <v/>
      </c>
      <c r="AK27" s="10" t="str">
        <f aca="false">IF(I27="","",IF(I27=0,"",AJ27/I27))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7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8" t="str">
        <f aca="false">IF(OR(F28="",H28=""),"",ROUND((H28-F28)*24,1))</f>
        <v/>
      </c>
      <c r="AC28" s="8" t="str">
        <f aca="false">IF(OR(G28="",H28=""),"",MAX(0,ROUND((H28-G28)*24,1)))</f>
        <v/>
      </c>
      <c r="AD28" s="8" t="str">
        <f aca="false">IF(AC28="","",IF(AC28=0,1,0))</f>
        <v/>
      </c>
      <c r="AE28" s="8" t="str">
        <f aca="false">IF(OR(O28="",P28=""),"",P28-O28)</f>
        <v/>
      </c>
      <c r="AF28" s="8" t="str">
        <f aca="false">IF(A28="","",IF(UPPER(M28)="Y",1,0))</f>
        <v/>
      </c>
      <c r="AG28" s="8" t="str">
        <f aca="false">IF(A28="","",IF(N(R28)&gt;0,1,0))</f>
        <v/>
      </c>
      <c r="AH28" s="9" t="str">
        <f aca="false">IF(I28="","",N(T28)+N(U28)+N(V28)+N(W28))</f>
        <v/>
      </c>
      <c r="AI28" s="9" t="str">
        <f aca="false">IF(I28="","",I28-N(R28))</f>
        <v/>
      </c>
      <c r="AJ28" s="9" t="str">
        <f aca="false">IF(I28="","",AI28-AH28)</f>
        <v/>
      </c>
      <c r="AK28" s="10" t="str">
        <f aca="false">IF(I28="","",IF(I28=0,"",AJ28/I28))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8" t="str">
        <f aca="false">IF(OR(F29="",H29=""),"",ROUND((H29-F29)*24,1))</f>
        <v/>
      </c>
      <c r="AC29" s="8" t="str">
        <f aca="false">IF(OR(G29="",H29=""),"",MAX(0,ROUND((H29-G29)*24,1)))</f>
        <v/>
      </c>
      <c r="AD29" s="8" t="str">
        <f aca="false">IF(AC29="","",IF(AC29=0,1,0))</f>
        <v/>
      </c>
      <c r="AE29" s="8" t="str">
        <f aca="false">IF(OR(O29="",P29=""),"",P29-O29)</f>
        <v/>
      </c>
      <c r="AF29" s="8" t="str">
        <f aca="false">IF(A29="","",IF(UPPER(M29)="Y",1,0))</f>
        <v/>
      </c>
      <c r="AG29" s="8" t="str">
        <f aca="false">IF(A29="","",IF(N(R29)&gt;0,1,0))</f>
        <v/>
      </c>
      <c r="AH29" s="9" t="str">
        <f aca="false">IF(I29="","",N(T29)+N(U29)+N(V29)+N(W29))</f>
        <v/>
      </c>
      <c r="AI29" s="9" t="str">
        <f aca="false">IF(I29="","",I29-N(R29))</f>
        <v/>
      </c>
      <c r="AJ29" s="9" t="str">
        <f aca="false">IF(I29="","",AI29-AH29)</f>
        <v/>
      </c>
      <c r="AK29" s="10" t="str">
        <f aca="false">IF(I29="","",IF(I29=0,"",AJ29/I29))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7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8" t="str">
        <f aca="false">IF(OR(F30="",H30=""),"",ROUND((H30-F30)*24,1))</f>
        <v/>
      </c>
      <c r="AC30" s="8" t="str">
        <f aca="false">IF(OR(G30="",H30=""),"",MAX(0,ROUND((H30-G30)*24,1)))</f>
        <v/>
      </c>
      <c r="AD30" s="8" t="str">
        <f aca="false">IF(AC30="","",IF(AC30=0,1,0))</f>
        <v/>
      </c>
      <c r="AE30" s="8" t="str">
        <f aca="false">IF(OR(O30="",P30=""),"",P30-O30)</f>
        <v/>
      </c>
      <c r="AF30" s="8" t="str">
        <f aca="false">IF(A30="","",IF(UPPER(M30)="Y",1,0))</f>
        <v/>
      </c>
      <c r="AG30" s="8" t="str">
        <f aca="false">IF(A30="","",IF(N(R30)&gt;0,1,0))</f>
        <v/>
      </c>
      <c r="AH30" s="9" t="str">
        <f aca="false">IF(I30="","",N(T30)+N(U30)+N(V30)+N(W30))</f>
        <v/>
      </c>
      <c r="AI30" s="9" t="str">
        <f aca="false">IF(I30="","",I30-N(R30))</f>
        <v/>
      </c>
      <c r="AJ30" s="9" t="str">
        <f aca="false">IF(I30="","",AI30-AH30)</f>
        <v/>
      </c>
      <c r="AK30" s="10" t="str">
        <f aca="false">IF(I30="","",IF(I30=0,"",AJ30/I30))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7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8" t="str">
        <f aca="false">IF(OR(F31="",H31=""),"",ROUND((H31-F31)*24,1))</f>
        <v/>
      </c>
      <c r="AC31" s="8" t="str">
        <f aca="false">IF(OR(G31="",H31=""),"",MAX(0,ROUND((H31-G31)*24,1)))</f>
        <v/>
      </c>
      <c r="AD31" s="8" t="str">
        <f aca="false">IF(AC31="","",IF(AC31=0,1,0))</f>
        <v/>
      </c>
      <c r="AE31" s="8" t="str">
        <f aca="false">IF(OR(O31="",P31=""),"",P31-O31)</f>
        <v/>
      </c>
      <c r="AF31" s="8" t="str">
        <f aca="false">IF(A31="","",IF(UPPER(M31)="Y",1,0))</f>
        <v/>
      </c>
      <c r="AG31" s="8" t="str">
        <f aca="false">IF(A31="","",IF(N(R31)&gt;0,1,0))</f>
        <v/>
      </c>
      <c r="AH31" s="9" t="str">
        <f aca="false">IF(I31="","",N(T31)+N(U31)+N(V31)+N(W31))</f>
        <v/>
      </c>
      <c r="AI31" s="9" t="str">
        <f aca="false">IF(I31="","",I31-N(R31))</f>
        <v/>
      </c>
      <c r="AJ31" s="9" t="str">
        <f aca="false">IF(I31="","",AI31-AH31)</f>
        <v/>
      </c>
      <c r="AK31" s="10" t="str">
        <f aca="false">IF(I31="","",IF(I31=0,"",AJ31/I31))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7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8" t="str">
        <f aca="false">IF(OR(F32="",H32=""),"",ROUND((H32-F32)*24,1))</f>
        <v/>
      </c>
      <c r="AC32" s="8" t="str">
        <f aca="false">IF(OR(G32="",H32=""),"",MAX(0,ROUND((H32-G32)*24,1)))</f>
        <v/>
      </c>
      <c r="AD32" s="8" t="str">
        <f aca="false">IF(AC32="","",IF(AC32=0,1,0))</f>
        <v/>
      </c>
      <c r="AE32" s="8" t="str">
        <f aca="false">IF(OR(O32="",P32=""),"",P32-O32)</f>
        <v/>
      </c>
      <c r="AF32" s="8" t="str">
        <f aca="false">IF(A32="","",IF(UPPER(M32)="Y",1,0))</f>
        <v/>
      </c>
      <c r="AG32" s="8" t="str">
        <f aca="false">IF(A32="","",IF(N(R32)&gt;0,1,0))</f>
        <v/>
      </c>
      <c r="AH32" s="9" t="str">
        <f aca="false">IF(I32="","",N(T32)+N(U32)+N(V32)+N(W32))</f>
        <v/>
      </c>
      <c r="AI32" s="9" t="str">
        <f aca="false">IF(I32="","",I32-N(R32))</f>
        <v/>
      </c>
      <c r="AJ32" s="9" t="str">
        <f aca="false">IF(I32="","",AI32-AH32)</f>
        <v/>
      </c>
      <c r="AK32" s="10" t="str">
        <f aca="false">IF(I32="","",IF(I32=0,"",AJ32/I32))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7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8" t="str">
        <f aca="false">IF(OR(F33="",H33=""),"",ROUND((H33-F33)*24,1))</f>
        <v/>
      </c>
      <c r="AC33" s="8" t="str">
        <f aca="false">IF(OR(G33="",H33=""),"",MAX(0,ROUND((H33-G33)*24,1)))</f>
        <v/>
      </c>
      <c r="AD33" s="8" t="str">
        <f aca="false">IF(AC33="","",IF(AC33=0,1,0))</f>
        <v/>
      </c>
      <c r="AE33" s="8" t="str">
        <f aca="false">IF(OR(O33="",P33=""),"",P33-O33)</f>
        <v/>
      </c>
      <c r="AF33" s="8" t="str">
        <f aca="false">IF(A33="","",IF(UPPER(M33)="Y",1,0))</f>
        <v/>
      </c>
      <c r="AG33" s="8" t="str">
        <f aca="false">IF(A33="","",IF(N(R33)&gt;0,1,0))</f>
        <v/>
      </c>
      <c r="AH33" s="9" t="str">
        <f aca="false">IF(I33="","",N(T33)+N(U33)+N(V33)+N(W33))</f>
        <v/>
      </c>
      <c r="AI33" s="9" t="str">
        <f aca="false">IF(I33="","",I33-N(R33))</f>
        <v/>
      </c>
      <c r="AJ33" s="9" t="str">
        <f aca="false">IF(I33="","",AI33-AH33)</f>
        <v/>
      </c>
      <c r="AK33" s="10" t="str">
        <f aca="false">IF(I33="","",IF(I33=0,"",AJ33/I33))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7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8" t="str">
        <f aca="false">IF(OR(F34="",H34=""),"",ROUND((H34-F34)*24,1))</f>
        <v/>
      </c>
      <c r="AC34" s="8" t="str">
        <f aca="false">IF(OR(G34="",H34=""),"",MAX(0,ROUND((H34-G34)*24,1)))</f>
        <v/>
      </c>
      <c r="AD34" s="8" t="str">
        <f aca="false">IF(AC34="","",IF(AC34=0,1,0))</f>
        <v/>
      </c>
      <c r="AE34" s="8" t="str">
        <f aca="false">IF(OR(O34="",P34=""),"",P34-O34)</f>
        <v/>
      </c>
      <c r="AF34" s="8" t="str">
        <f aca="false">IF(A34="","",IF(UPPER(M34)="Y",1,0))</f>
        <v/>
      </c>
      <c r="AG34" s="8" t="str">
        <f aca="false">IF(A34="","",IF(N(R34)&gt;0,1,0))</f>
        <v/>
      </c>
      <c r="AH34" s="9" t="str">
        <f aca="false">IF(I34="","",N(T34)+N(U34)+N(V34)+N(W34))</f>
        <v/>
      </c>
      <c r="AI34" s="9" t="str">
        <f aca="false">IF(I34="","",I34-N(R34))</f>
        <v/>
      </c>
      <c r="AJ34" s="9" t="str">
        <f aca="false">IF(I34="","",AI34-AH34)</f>
        <v/>
      </c>
      <c r="AK34" s="10" t="str">
        <f aca="false">IF(I34="","",IF(I34=0,"",AJ34/I34))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8" t="str">
        <f aca="false">IF(OR(F35="",H35=""),"",ROUND((H35-F35)*24,1))</f>
        <v/>
      </c>
      <c r="AC35" s="8" t="str">
        <f aca="false">IF(OR(G35="",H35=""),"",MAX(0,ROUND((H35-G35)*24,1)))</f>
        <v/>
      </c>
      <c r="AD35" s="8" t="str">
        <f aca="false">IF(AC35="","",IF(AC35=0,1,0))</f>
        <v/>
      </c>
      <c r="AE35" s="8" t="str">
        <f aca="false">IF(OR(O35="",P35=""),"",P35-O35)</f>
        <v/>
      </c>
      <c r="AF35" s="8" t="str">
        <f aca="false">IF(A35="","",IF(UPPER(M35)="Y",1,0))</f>
        <v/>
      </c>
      <c r="AG35" s="8" t="str">
        <f aca="false">IF(A35="","",IF(N(R35)&gt;0,1,0))</f>
        <v/>
      </c>
      <c r="AH35" s="9" t="str">
        <f aca="false">IF(I35="","",N(T35)+N(U35)+N(V35)+N(W35))</f>
        <v/>
      </c>
      <c r="AI35" s="9" t="str">
        <f aca="false">IF(I35="","",I35-N(R35))</f>
        <v/>
      </c>
      <c r="AJ35" s="9" t="str">
        <f aca="false">IF(I35="","",AI35-AH35)</f>
        <v/>
      </c>
      <c r="AK35" s="10" t="str">
        <f aca="false">IF(I35="","",IF(I35=0,"",AJ35/I35))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8" t="str">
        <f aca="false">IF(OR(F36="",H36=""),"",ROUND((H36-F36)*24,1))</f>
        <v/>
      </c>
      <c r="AC36" s="8" t="str">
        <f aca="false">IF(OR(G36="",H36=""),"",MAX(0,ROUND((H36-G36)*24,1)))</f>
        <v/>
      </c>
      <c r="AD36" s="8" t="str">
        <f aca="false">IF(AC36="","",IF(AC36=0,1,0))</f>
        <v/>
      </c>
      <c r="AE36" s="8" t="str">
        <f aca="false">IF(OR(O36="",P36=""),"",P36-O36)</f>
        <v/>
      </c>
      <c r="AF36" s="8" t="str">
        <f aca="false">IF(A36="","",IF(UPPER(M36)="Y",1,0))</f>
        <v/>
      </c>
      <c r="AG36" s="8" t="str">
        <f aca="false">IF(A36="","",IF(N(R36)&gt;0,1,0))</f>
        <v/>
      </c>
      <c r="AH36" s="9" t="str">
        <f aca="false">IF(I36="","",N(T36)+N(U36)+N(V36)+N(W36))</f>
        <v/>
      </c>
      <c r="AI36" s="9" t="str">
        <f aca="false">IF(I36="","",I36-N(R36))</f>
        <v/>
      </c>
      <c r="AJ36" s="9" t="str">
        <f aca="false">IF(I36="","",AI36-AH36)</f>
        <v/>
      </c>
      <c r="AK36" s="10" t="str">
        <f aca="false">IF(I36="","",IF(I36=0,"",AJ36/I36))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7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8" t="str">
        <f aca="false">IF(OR(F37="",H37=""),"",ROUND((H37-F37)*24,1))</f>
        <v/>
      </c>
      <c r="AC37" s="8" t="str">
        <f aca="false">IF(OR(G37="",H37=""),"",MAX(0,ROUND((H37-G37)*24,1)))</f>
        <v/>
      </c>
      <c r="AD37" s="8" t="str">
        <f aca="false">IF(AC37="","",IF(AC37=0,1,0))</f>
        <v/>
      </c>
      <c r="AE37" s="8" t="str">
        <f aca="false">IF(OR(O37="",P37=""),"",P37-O37)</f>
        <v/>
      </c>
      <c r="AF37" s="8" t="str">
        <f aca="false">IF(A37="","",IF(UPPER(M37)="Y",1,0))</f>
        <v/>
      </c>
      <c r="AG37" s="8" t="str">
        <f aca="false">IF(A37="","",IF(N(R37)&gt;0,1,0))</f>
        <v/>
      </c>
      <c r="AH37" s="9" t="str">
        <f aca="false">IF(I37="","",N(T37)+N(U37)+N(V37)+N(W37))</f>
        <v/>
      </c>
      <c r="AI37" s="9" t="str">
        <f aca="false">IF(I37="","",I37-N(R37))</f>
        <v/>
      </c>
      <c r="AJ37" s="9" t="str">
        <f aca="false">IF(I37="","",AI37-AH37)</f>
        <v/>
      </c>
      <c r="AK37" s="10" t="str">
        <f aca="false">IF(I37="","",IF(I37=0,"",AJ37/I37))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7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8" t="str">
        <f aca="false">IF(OR(F38="",H38=""),"",ROUND((H38-F38)*24,1))</f>
        <v/>
      </c>
      <c r="AC38" s="8" t="str">
        <f aca="false">IF(OR(G38="",H38=""),"",MAX(0,ROUND((H38-G38)*24,1)))</f>
        <v/>
      </c>
      <c r="AD38" s="8" t="str">
        <f aca="false">IF(AC38="","",IF(AC38=0,1,0))</f>
        <v/>
      </c>
      <c r="AE38" s="8" t="str">
        <f aca="false">IF(OR(O38="",P38=""),"",P38-O38)</f>
        <v/>
      </c>
      <c r="AF38" s="8" t="str">
        <f aca="false">IF(A38="","",IF(UPPER(M38)="Y",1,0))</f>
        <v/>
      </c>
      <c r="AG38" s="8" t="str">
        <f aca="false">IF(A38="","",IF(N(R38)&gt;0,1,0))</f>
        <v/>
      </c>
      <c r="AH38" s="9" t="str">
        <f aca="false">IF(I38="","",N(T38)+N(U38)+N(V38)+N(W38))</f>
        <v/>
      </c>
      <c r="AI38" s="9" t="str">
        <f aca="false">IF(I38="","",I38-N(R38))</f>
        <v/>
      </c>
      <c r="AJ38" s="9" t="str">
        <f aca="false">IF(I38="","",AI38-AH38)</f>
        <v/>
      </c>
      <c r="AK38" s="10" t="str">
        <f aca="false">IF(I38="","",IF(I38=0,"",AJ38/I38))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7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8" t="str">
        <f aca="false">IF(OR(F39="",H39=""),"",ROUND((H39-F39)*24,1))</f>
        <v/>
      </c>
      <c r="AC39" s="8" t="str">
        <f aca="false">IF(OR(G39="",H39=""),"",MAX(0,ROUND((H39-G39)*24,1)))</f>
        <v/>
      </c>
      <c r="AD39" s="8" t="str">
        <f aca="false">IF(AC39="","",IF(AC39=0,1,0))</f>
        <v/>
      </c>
      <c r="AE39" s="8" t="str">
        <f aca="false">IF(OR(O39="",P39=""),"",P39-O39)</f>
        <v/>
      </c>
      <c r="AF39" s="8" t="str">
        <f aca="false">IF(A39="","",IF(UPPER(M39)="Y",1,0))</f>
        <v/>
      </c>
      <c r="AG39" s="8" t="str">
        <f aca="false">IF(A39="","",IF(N(R39)&gt;0,1,0))</f>
        <v/>
      </c>
      <c r="AH39" s="9" t="str">
        <f aca="false">IF(I39="","",N(T39)+N(U39)+N(V39)+N(W39))</f>
        <v/>
      </c>
      <c r="AI39" s="9" t="str">
        <f aca="false">IF(I39="","",I39-N(R39))</f>
        <v/>
      </c>
      <c r="AJ39" s="9" t="str">
        <f aca="false">IF(I39="","",AI39-AH39)</f>
        <v/>
      </c>
      <c r="AK39" s="10" t="str">
        <f aca="false">IF(I39="","",IF(I39=0,"",AJ39/I39))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7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8" t="str">
        <f aca="false">IF(OR(F40="",H40=""),"",ROUND((H40-F40)*24,1))</f>
        <v/>
      </c>
      <c r="AC40" s="8" t="str">
        <f aca="false">IF(OR(G40="",H40=""),"",MAX(0,ROUND((H40-G40)*24,1)))</f>
        <v/>
      </c>
      <c r="AD40" s="8" t="str">
        <f aca="false">IF(AC40="","",IF(AC40=0,1,0))</f>
        <v/>
      </c>
      <c r="AE40" s="8" t="str">
        <f aca="false">IF(OR(O40="",P40=""),"",P40-O40)</f>
        <v/>
      </c>
      <c r="AF40" s="8" t="str">
        <f aca="false">IF(A40="","",IF(UPPER(M40)="Y",1,0))</f>
        <v/>
      </c>
      <c r="AG40" s="8" t="str">
        <f aca="false">IF(A40="","",IF(N(R40)&gt;0,1,0))</f>
        <v/>
      </c>
      <c r="AH40" s="9" t="str">
        <f aca="false">IF(I40="","",N(T40)+N(U40)+N(V40)+N(W40))</f>
        <v/>
      </c>
      <c r="AI40" s="9" t="str">
        <f aca="false">IF(I40="","",I40-N(R40))</f>
        <v/>
      </c>
      <c r="AJ40" s="9" t="str">
        <f aca="false">IF(I40="","",AI40-AH40)</f>
        <v/>
      </c>
      <c r="AK40" s="10" t="str">
        <f aca="false">IF(I40="","",IF(I40=0,"",AJ40/I40))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7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8" t="str">
        <f aca="false">IF(OR(F41="",H41=""),"",ROUND((H41-F41)*24,1))</f>
        <v/>
      </c>
      <c r="AC41" s="8" t="str">
        <f aca="false">IF(OR(G41="",H41=""),"",MAX(0,ROUND((H41-G41)*24,1)))</f>
        <v/>
      </c>
      <c r="AD41" s="8" t="str">
        <f aca="false">IF(AC41="","",IF(AC41=0,1,0))</f>
        <v/>
      </c>
      <c r="AE41" s="8" t="str">
        <f aca="false">IF(OR(O41="",P41=""),"",P41-O41)</f>
        <v/>
      </c>
      <c r="AF41" s="8" t="str">
        <f aca="false">IF(A41="","",IF(UPPER(M41)="Y",1,0))</f>
        <v/>
      </c>
      <c r="AG41" s="8" t="str">
        <f aca="false">IF(A41="","",IF(N(R41)&gt;0,1,0))</f>
        <v/>
      </c>
      <c r="AH41" s="9" t="str">
        <f aca="false">IF(I41="","",N(T41)+N(U41)+N(V41)+N(W41))</f>
        <v/>
      </c>
      <c r="AI41" s="9" t="str">
        <f aca="false">IF(I41="","",I41-N(R41))</f>
        <v/>
      </c>
      <c r="AJ41" s="9" t="str">
        <f aca="false">IF(I41="","",AI41-AH41)</f>
        <v/>
      </c>
      <c r="AK41" s="10" t="str">
        <f aca="false">IF(I41="","",IF(I41=0,"",AJ41/I41))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7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8" t="str">
        <f aca="false">IF(OR(F42="",H42=""),"",ROUND((H42-F42)*24,1))</f>
        <v/>
      </c>
      <c r="AC42" s="8" t="str">
        <f aca="false">IF(OR(G42="",H42=""),"",MAX(0,ROUND((H42-G42)*24,1)))</f>
        <v/>
      </c>
      <c r="AD42" s="8" t="str">
        <f aca="false">IF(AC42="","",IF(AC42=0,1,0))</f>
        <v/>
      </c>
      <c r="AE42" s="8" t="str">
        <f aca="false">IF(OR(O42="",P42=""),"",P42-O42)</f>
        <v/>
      </c>
      <c r="AF42" s="8" t="str">
        <f aca="false">IF(A42="","",IF(UPPER(M42)="Y",1,0))</f>
        <v/>
      </c>
      <c r="AG42" s="8" t="str">
        <f aca="false">IF(A42="","",IF(N(R42)&gt;0,1,0))</f>
        <v/>
      </c>
      <c r="AH42" s="9" t="str">
        <f aca="false">IF(I42="","",N(T42)+N(U42)+N(V42)+N(W42))</f>
        <v/>
      </c>
      <c r="AI42" s="9" t="str">
        <f aca="false">IF(I42="","",I42-N(R42))</f>
        <v/>
      </c>
      <c r="AJ42" s="9" t="str">
        <f aca="false">IF(I42="","",AI42-AH42)</f>
        <v/>
      </c>
      <c r="AK42" s="10" t="str">
        <f aca="false">IF(I42="","",IF(I42=0,"",AJ42/I42))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8" t="str">
        <f aca="false">IF(OR(F43="",H43=""),"",ROUND((H43-F43)*24,1))</f>
        <v/>
      </c>
      <c r="AC43" s="8" t="str">
        <f aca="false">IF(OR(G43="",H43=""),"",MAX(0,ROUND((H43-G43)*24,1)))</f>
        <v/>
      </c>
      <c r="AD43" s="8" t="str">
        <f aca="false">IF(AC43="","",IF(AC43=0,1,0))</f>
        <v/>
      </c>
      <c r="AE43" s="8" t="str">
        <f aca="false">IF(OR(O43="",P43=""),"",P43-O43)</f>
        <v/>
      </c>
      <c r="AF43" s="8" t="str">
        <f aca="false">IF(A43="","",IF(UPPER(M43)="Y",1,0))</f>
        <v/>
      </c>
      <c r="AG43" s="8" t="str">
        <f aca="false">IF(A43="","",IF(N(R43)&gt;0,1,0))</f>
        <v/>
      </c>
      <c r="AH43" s="9" t="str">
        <f aca="false">IF(I43="","",N(T43)+N(U43)+N(V43)+N(W43))</f>
        <v/>
      </c>
      <c r="AI43" s="9" t="str">
        <f aca="false">IF(I43="","",I43-N(R43))</f>
        <v/>
      </c>
      <c r="AJ43" s="9" t="str">
        <f aca="false">IF(I43="","",AI43-AH43)</f>
        <v/>
      </c>
      <c r="AK43" s="10" t="str">
        <f aca="false">IF(I43="","",IF(I43=0,"",AJ43/I43))</f>
        <v/>
      </c>
    </row>
  </sheetData>
  <dataValidations count="3">
    <dataValidation allowBlank="true" errorStyle="stop" operator="between" showDropDown="false" showErrorMessage="false" showInputMessage="false" sqref="C4:C43 M4:M43 Y4:Z43" type="list">
      <formula1>"Y,N"</formula1>
      <formula2>0</formula2>
    </dataValidation>
    <dataValidation allowBlank="true" errorStyle="stop" operator="between" showDropDown="false" showErrorMessage="false" showInputMessage="false" sqref="B4:B43" type="list">
      <formula1>"Polish,Rewrite 7d,Rewrite 48h,Rewrite 24h"</formula1>
      <formula2>0</formula2>
    </dataValidation>
    <dataValidation allowBlank="true" errorStyle="stop" operator="between" showDropDown="false" showErrorMessage="false" showInputMessage="false" sqref="Q4:Q43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3" t="s">
        <v>49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</row>
    <row r="5" customFormat="false" ht="15" hidden="false" customHeight="false" outlineLevel="0" collapsed="false">
      <c r="A5" s="11" t="s">
        <v>56</v>
      </c>
      <c r="B5" s="12" t="n">
        <f aca="false">COUNT(Jobs!$I$4:$I$43)</f>
        <v>0</v>
      </c>
      <c r="C5" s="13" t="n">
        <v>20</v>
      </c>
      <c r="D5" s="11" t="s">
        <v>57</v>
      </c>
      <c r="E5" s="11" t="str">
        <f aca="false">IF(B5="","",IF(B5&gt;=C5,"PASS","FAIL"))</f>
        <v>FAIL</v>
      </c>
      <c r="F5" s="11" t="s">
        <v>58</v>
      </c>
    </row>
    <row r="6" customFormat="false" ht="15" hidden="false" customHeight="false" outlineLevel="0" collapsed="false">
      <c r="A6" s="11" t="s">
        <v>59</v>
      </c>
      <c r="B6" s="14" t="str">
        <f aca="false">IF(COUNT(Jobs!$AD$4:$AD$43)=0,"",SUM(Jobs!$AD$4:$AD$43)/COUNT(Jobs!$AD$4:$AD$43))</f>
        <v/>
      </c>
      <c r="C6" s="15" t="n">
        <v>0.95</v>
      </c>
      <c r="D6" s="11" t="s">
        <v>57</v>
      </c>
      <c r="E6" s="11" t="str">
        <f aca="false">IF(B6="","",IF(B6&gt;=C6,"PASS","FAIL"))</f>
        <v/>
      </c>
      <c r="F6" s="11" t="s">
        <v>60</v>
      </c>
    </row>
    <row r="7" customFormat="false" ht="15" hidden="false" customHeight="false" outlineLevel="0" collapsed="false">
      <c r="A7" s="11" t="s">
        <v>61</v>
      </c>
      <c r="B7" s="16" t="str">
        <f aca="false">IF(COUNT(Jobs!$Q$4:$Q$43)=0,"",AVERAGE(Jobs!$Q$4:$Q$43))</f>
        <v/>
      </c>
      <c r="C7" s="17" t="n">
        <v>4.5</v>
      </c>
      <c r="D7" s="11" t="s">
        <v>57</v>
      </c>
      <c r="E7" s="11" t="str">
        <f aca="false">IF(B7="","",IF(B7&gt;=C7,"PASS","FAIL"))</f>
        <v/>
      </c>
      <c r="F7" s="11" t="s">
        <v>62</v>
      </c>
    </row>
    <row r="8" customFormat="false" ht="15" hidden="false" customHeight="false" outlineLevel="0" collapsed="false">
      <c r="A8" s="11" t="s">
        <v>63</v>
      </c>
      <c r="B8" s="14" t="str">
        <f aca="false">IF(COUNT(Jobs!$AF$4:$AF$43)=0,"",SUM(Jobs!$AF$4:$AF$43)/COUNT(Jobs!$AF$4:$AF$43))</f>
        <v/>
      </c>
      <c r="C8" s="15" t="n">
        <v>0.2</v>
      </c>
      <c r="D8" s="11" t="s">
        <v>64</v>
      </c>
      <c r="E8" s="11" t="str">
        <f aca="false">IF(B8="","",IF(B8&lt;C8,"PASS","FAIL"))</f>
        <v/>
      </c>
      <c r="F8" s="11" t="s">
        <v>65</v>
      </c>
    </row>
    <row r="9" customFormat="false" ht="23.85" hidden="false" customHeight="false" outlineLevel="0" collapsed="false">
      <c r="A9" s="11" t="s">
        <v>66</v>
      </c>
      <c r="B9" s="14" t="str">
        <f aca="false">IF(COUNT(Jobs!$AG$4:$AG$43)=0,"",SUM(Jobs!$AG$4:$AG$43)/COUNT(Jobs!$AG$4:$AG$43))</f>
        <v/>
      </c>
      <c r="C9" s="15" t="n">
        <v>0.08</v>
      </c>
      <c r="D9" s="11" t="s">
        <v>64</v>
      </c>
      <c r="E9" s="11" t="str">
        <f aca="false">IF(B9="","",IF(B9&lt;C9,"PASS","FAIL"))</f>
        <v/>
      </c>
      <c r="F9" s="11" t="s">
        <v>67</v>
      </c>
    </row>
    <row r="10" customFormat="false" ht="15" hidden="false" customHeight="false" outlineLevel="0" collapsed="false">
      <c r="A10" s="11" t="s">
        <v>68</v>
      </c>
      <c r="B10" s="18" t="str">
        <f aca="false">IF(COUNT(Jobs!$AJ$4:$AJ$43)=0,"",AVERAGE(Jobs!$AJ$4:$AJ$43))</f>
        <v/>
      </c>
      <c r="C10" s="19" t="n">
        <v>25</v>
      </c>
      <c r="D10" s="11" t="s">
        <v>57</v>
      </c>
      <c r="E10" s="11" t="str">
        <f aca="false">IF(B10="","",IF(B10&gt;=C10,"PASS","FAIL"))</f>
        <v/>
      </c>
      <c r="F10" s="11" t="s">
        <v>69</v>
      </c>
    </row>
    <row r="11" customFormat="false" ht="15" hidden="false" customHeight="false" outlineLevel="0" collapsed="false">
      <c r="A11" s="11" t="s">
        <v>70</v>
      </c>
      <c r="B11" s="14" t="str">
        <f aca="false">IF(SUM(Jobs!$I$4:$I$43)=0,"",SUM(Jobs!$AJ$4:$AJ$43)/SUM(Jobs!$I$4:$I$43))</f>
        <v/>
      </c>
      <c r="C11" s="15" t="n">
        <v>0.25</v>
      </c>
      <c r="D11" s="11" t="s">
        <v>57</v>
      </c>
      <c r="E11" s="11" t="str">
        <f aca="false">IF(B11="","",IF(B11&gt;=C11,"PASS","FAIL"))</f>
        <v/>
      </c>
      <c r="F11" s="11" t="s">
        <v>71</v>
      </c>
    </row>
    <row r="12" customFormat="false" ht="15" hidden="false" customHeight="false" outlineLevel="0" collapsed="false">
      <c r="A12" s="11" t="s">
        <v>72</v>
      </c>
      <c r="B12" s="16" t="str">
        <f aca="false">IF(COUNT(Jobs!$J$4:$J$43)=0,"",AVERAGE(Jobs!$J$4:$J$43))</f>
        <v/>
      </c>
      <c r="C12" s="17" t="n">
        <v>75</v>
      </c>
      <c r="D12" s="11" t="s">
        <v>73</v>
      </c>
      <c r="E12" s="11" t="str">
        <f aca="false">IF(B12="","",IF(B12&lt;=C12,"PASS","FAIL"))</f>
        <v/>
      </c>
      <c r="F12" s="11" t="s">
        <v>74</v>
      </c>
    </row>
    <row r="13" customFormat="false" ht="15" hidden="false" customHeight="false" outlineLevel="0" collapsed="false">
      <c r="A13" s="11" t="s">
        <v>75</v>
      </c>
      <c r="B13" s="17"/>
      <c r="C13" s="17" t="n">
        <v>1</v>
      </c>
      <c r="D13" s="11" t="s">
        <v>57</v>
      </c>
      <c r="E13" s="11" t="str">
        <f aca="false">IF(B13="","",IF(B13&gt;=C13,"PASS","FAIL"))</f>
        <v/>
      </c>
      <c r="F13" s="11" t="s">
        <v>76</v>
      </c>
    </row>
    <row r="15" customFormat="false" ht="15" hidden="false" customHeight="false" outlineLevel="0" collapsed="false">
      <c r="A15" s="20" t="s">
        <v>77</v>
      </c>
      <c r="B15" s="21" t="str">
        <f aca="false">IF(COUNTIF(E5:E13,"")&gt;0,"Incomplete: "&amp;COUNTIF(E5:E13,"")&amp;" measure(s) missing",IF(COUNTIF(E5:E13,"FAIL")=0,"PASS","FAIL"))</f>
        <v>Incomplete: 8 measure(s) missing</v>
      </c>
    </row>
    <row r="17" customFormat="false" ht="15" hidden="false" customHeight="false" outlineLevel="0" collapsed="false">
      <c r="A17" s="20" t="s">
        <v>78</v>
      </c>
    </row>
    <row r="18" customFormat="false" ht="15" hidden="false" customHeight="false" outlineLevel="0" collapsed="false">
      <c r="A18" s="2" t="s">
        <v>79</v>
      </c>
      <c r="B18" s="2" t="str">
        <f aca="false">IF(B12="","",IF(B12&gt;120,"TRIGGERED","clear"))</f>
        <v/>
      </c>
    </row>
    <row r="19" customFormat="false" ht="15" hidden="false" customHeight="false" outlineLevel="0" collapsed="false">
      <c r="A19" s="2" t="s">
        <v>80</v>
      </c>
      <c r="B19" s="2" t="str">
        <f aca="false">IF(B9="","",IF(B9&gt;0.15,"TRIGGERED","clear"))</f>
        <v/>
      </c>
    </row>
    <row r="20" customFormat="false" ht="15" hidden="false" customHeight="false" outlineLevel="0" collapsed="false">
      <c r="A20" s="2" t="s">
        <v>81</v>
      </c>
      <c r="B20" s="2" t="str">
        <f aca="false">IF(B7="","",IF(B7&lt;4,"TRIGGERED","clear"))</f>
        <v/>
      </c>
    </row>
    <row r="21" customFormat="false" ht="15" hidden="false" customHeight="false" outlineLevel="0" collapsed="false">
      <c r="A21" s="2" t="s">
        <v>82</v>
      </c>
      <c r="B21" s="2" t="str">
        <f aca="false">IF(COUNTIF(Jobs!$Y$4:$Y$43,"Y")&gt;0,"STOP","clear")</f>
        <v>clear</v>
      </c>
    </row>
    <row r="22" customFormat="false" ht="15" hidden="false" customHeight="false" outlineLevel="0" collapsed="false">
      <c r="A22" s="2" t="s">
        <v>83</v>
      </c>
      <c r="B22" s="2" t="str">
        <f aca="false">IF(COUNTIF(Jobs!$Z$4:$Z$43,"Y")&gt;0,"STOP","clear")</f>
        <v>clear</v>
      </c>
    </row>
    <row r="24" customFormat="false" ht="15" hidden="false" customHeight="false" outlineLevel="0" collapsed="false">
      <c r="A24" s="20" t="s">
        <v>84</v>
      </c>
    </row>
    <row r="25" customFormat="false" ht="15" hidden="false" customHeight="false" outlineLevel="0" collapsed="false">
      <c r="A25" s="2" t="s">
        <v>85</v>
      </c>
      <c r="B25" s="22" t="n">
        <f aca="false">SUM(Jobs!$X$4:$X$43)</f>
        <v>0</v>
      </c>
    </row>
    <row r="26" customFormat="false" ht="15" hidden="false" customHeight="false" outlineLevel="0" collapsed="false">
      <c r="A26" s="2" t="s">
        <v>86</v>
      </c>
      <c r="B26" s="22" t="str">
        <f aca="false">IF(COUNT(Jobs!$K$4:$K$43)=0,"",AVERAGE(Jobs!$K$4:$K$43))</f>
        <v/>
      </c>
    </row>
    <row r="27" customFormat="false" ht="15" hidden="false" customHeight="false" outlineLevel="0" collapsed="false">
      <c r="A27" s="2" t="s">
        <v>87</v>
      </c>
      <c r="B27" s="22" t="str">
        <f aca="false">IF(COUNT(Jobs!$AE$4:$AE$43)=0,"",AVERAGE(Jobs!$AE$4:$AE$43))</f>
        <v/>
      </c>
    </row>
    <row r="28" customFormat="false" ht="15" hidden="false" customHeight="false" outlineLevel="0" collapsed="false">
      <c r="A28" s="2" t="s">
        <v>88</v>
      </c>
      <c r="B28" s="22" t="str">
        <f aca="false">IF(COUNT(Jobs!$AB$4:$AB$43)=0,"",AVERAGE(Jobs!$AB$4:$AB$43))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20" t="s">
        <v>89</v>
      </c>
    </row>
    <row r="3" customFormat="false" ht="15" hidden="false" customHeight="false" outlineLevel="0" collapsed="false">
      <c r="A3" s="23" t="s">
        <v>12</v>
      </c>
      <c r="B3" s="23" t="s">
        <v>90</v>
      </c>
      <c r="C3" s="23" t="s">
        <v>91</v>
      </c>
      <c r="D3" s="23" t="s">
        <v>92</v>
      </c>
    </row>
    <row r="4" customFormat="false" ht="15" hidden="false" customHeight="false" outlineLevel="0" collapsed="false">
      <c r="A4" s="2" t="s">
        <v>93</v>
      </c>
      <c r="B4" s="24" t="n">
        <v>59</v>
      </c>
      <c r="C4" s="24" t="n">
        <v>25</v>
      </c>
      <c r="D4" s="2" t="s">
        <v>94</v>
      </c>
    </row>
    <row r="5" customFormat="false" ht="15" hidden="false" customHeight="false" outlineLevel="0" collapsed="false">
      <c r="A5" s="2" t="s">
        <v>95</v>
      </c>
      <c r="B5" s="24" t="n">
        <v>89</v>
      </c>
      <c r="C5" s="24" t="n">
        <v>50</v>
      </c>
      <c r="D5" s="2" t="s">
        <v>96</v>
      </c>
    </row>
    <row r="6" customFormat="false" ht="15" hidden="false" customHeight="false" outlineLevel="0" collapsed="false">
      <c r="A6" s="2" t="s">
        <v>97</v>
      </c>
      <c r="B6" s="24" t="n">
        <v>119</v>
      </c>
      <c r="C6" s="24" t="n">
        <v>70</v>
      </c>
      <c r="D6" s="2" t="s">
        <v>98</v>
      </c>
    </row>
    <row r="7" customFormat="false" ht="15" hidden="false" customHeight="false" outlineLevel="0" collapsed="false">
      <c r="A7" s="2" t="s">
        <v>99</v>
      </c>
      <c r="B7" s="24" t="n">
        <v>149</v>
      </c>
      <c r="C7" s="24" t="n">
        <v>90</v>
      </c>
      <c r="D7" s="2" t="s">
        <v>100</v>
      </c>
    </row>
    <row r="8" customFormat="false" ht="15" hidden="false" customHeight="false" outlineLevel="0" collapsed="false">
      <c r="A8" s="2" t="s">
        <v>101</v>
      </c>
      <c r="B8" s="24" t="n">
        <v>29</v>
      </c>
      <c r="C8" s="24" t="n">
        <v>18</v>
      </c>
      <c r="D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  <col collapsed="false" customWidth="true" hidden="false" outlineLevel="0" max="14" min="14" style="0" width="28"/>
    <col collapsed="false" customWidth="true" hidden="false" outlineLevel="0" max="18" min="15" style="0" width="14"/>
    <col collapsed="false" customWidth="true" hidden="false" outlineLevel="0" max="19" min="19" style="0" width="28"/>
    <col collapsed="false" customWidth="true" hidden="false" outlineLevel="0" max="26" min="20" style="0" width="14"/>
    <col collapsed="false" customWidth="true" hidden="false" outlineLevel="0" max="27" min="27" style="0" width="28"/>
    <col collapsed="false" customWidth="true" hidden="false" outlineLevel="0" max="37" min="28" style="0" width="14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3" t="s">
        <v>10</v>
      </c>
    </row>
    <row r="3" customFormat="false" ht="48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4" t="s">
        <v>36</v>
      </c>
      <c r="AA3" s="4" t="s">
        <v>37</v>
      </c>
      <c r="AB3" s="5" t="s">
        <v>38</v>
      </c>
      <c r="AC3" s="5" t="s">
        <v>39</v>
      </c>
      <c r="AD3" s="5" t="s">
        <v>40</v>
      </c>
      <c r="AE3" s="5" t="s">
        <v>41</v>
      </c>
      <c r="AF3" s="5" t="s">
        <v>42</v>
      </c>
      <c r="AG3" s="5" t="s">
        <v>43</v>
      </c>
      <c r="AH3" s="5" t="s">
        <v>44</v>
      </c>
      <c r="AI3" s="5" t="s">
        <v>45</v>
      </c>
      <c r="AJ3" s="5" t="s">
        <v>46</v>
      </c>
      <c r="AK3" s="5" t="s">
        <v>47</v>
      </c>
    </row>
    <row r="4" customFormat="false" ht="15" hidden="false" customHeight="false" outlineLevel="0" collapsed="false">
      <c r="A4" s="6" t="s">
        <v>103</v>
      </c>
      <c r="B4" s="6" t="s">
        <v>95</v>
      </c>
      <c r="C4" s="6" t="s">
        <v>104</v>
      </c>
      <c r="D4" s="6" t="s">
        <v>105</v>
      </c>
      <c r="E4" s="6" t="s">
        <v>106</v>
      </c>
      <c r="F4" s="7" t="n">
        <v>46328.375</v>
      </c>
      <c r="G4" s="7" t="n">
        <v>46335.375</v>
      </c>
      <c r="H4" s="7" t="n">
        <v>46332.6458333333</v>
      </c>
      <c r="I4" s="6" t="n">
        <v>89</v>
      </c>
      <c r="J4" s="6" t="n">
        <v>62</v>
      </c>
      <c r="K4" s="6" t="n">
        <v>1</v>
      </c>
      <c r="L4" s="6" t="n">
        <v>1</v>
      </c>
      <c r="M4" s="6" t="s">
        <v>104</v>
      </c>
      <c r="N4" s="6"/>
      <c r="O4" s="6" t="n">
        <v>58</v>
      </c>
      <c r="P4" s="6" t="n">
        <v>84</v>
      </c>
      <c r="Q4" s="6" t="n">
        <v>5</v>
      </c>
      <c r="R4" s="6"/>
      <c r="S4" s="6"/>
      <c r="T4" s="6" t="n">
        <v>50</v>
      </c>
      <c r="U4" s="6" t="n">
        <v>3.5</v>
      </c>
      <c r="V4" s="6" t="n">
        <v>5</v>
      </c>
      <c r="W4" s="6" t="n">
        <v>2</v>
      </c>
      <c r="X4" s="6" t="n">
        <v>1</v>
      </c>
      <c r="Y4" s="6" t="s">
        <v>104</v>
      </c>
      <c r="Z4" s="6" t="s">
        <v>104</v>
      </c>
      <c r="AA4" s="6"/>
      <c r="AB4" s="8" t="n">
        <f aca="false">IF(OR(F4="",H4=""),"",ROUND((H4-F4)*24,1))</f>
        <v>102.5</v>
      </c>
      <c r="AC4" s="8" t="n">
        <f aca="false">IF(OR(G4="",H4=""),"",MAX(0,ROUND((H4-G4)*24,1)))</f>
        <v>0</v>
      </c>
      <c r="AD4" s="8" t="n">
        <f aca="false">IF(AC4="","",IF(AC4=0,1,0))</f>
        <v>1</v>
      </c>
      <c r="AE4" s="8" t="n">
        <f aca="false">IF(OR(O4="",P4=""),"",P4-O4)</f>
        <v>26</v>
      </c>
      <c r="AF4" s="8" t="n">
        <f aca="false">IF(A4="","",IF(UPPER(M4)="Y",1,0))</f>
        <v>0</v>
      </c>
      <c r="AG4" s="8" t="n">
        <f aca="false">IF(A4="","",IF(N(R4)&gt;0,1,0))</f>
        <v>0</v>
      </c>
      <c r="AH4" s="9" t="n">
        <f aca="false">IF(I4="","",N(T4)+N(U4)+N(V4)+N(W4))</f>
        <v>60.5</v>
      </c>
      <c r="AI4" s="9" t="n">
        <f aca="false">IF(I4="","",I4-N(R4))</f>
        <v>89</v>
      </c>
      <c r="AJ4" s="9" t="n">
        <f aca="false">IF(I4="","",AI4-AH4)</f>
        <v>28.5</v>
      </c>
      <c r="AK4" s="10" t="n">
        <f aca="false">IF(I4="","",IF(I4=0,"",AJ4/I4))</f>
        <v>0.320224719101124</v>
      </c>
    </row>
    <row r="5" customFormat="false" ht="15" hidden="false" customHeight="false" outlineLevel="0" collapsed="false">
      <c r="A5" s="6" t="s">
        <v>107</v>
      </c>
      <c r="B5" s="6" t="s">
        <v>97</v>
      </c>
      <c r="C5" s="6" t="s">
        <v>108</v>
      </c>
      <c r="D5" s="6" t="s">
        <v>109</v>
      </c>
      <c r="E5" s="6" t="s">
        <v>110</v>
      </c>
      <c r="F5" s="7" t="n">
        <v>46329.4166666667</v>
      </c>
      <c r="G5" s="7" t="n">
        <v>46331.4166666667</v>
      </c>
      <c r="H5" s="7" t="n">
        <v>46331.5416666667</v>
      </c>
      <c r="I5" s="6" t="n">
        <v>148</v>
      </c>
      <c r="J5" s="6" t="n">
        <v>95</v>
      </c>
      <c r="K5" s="6" t="n">
        <v>2</v>
      </c>
      <c r="L5" s="6" t="n">
        <v>2</v>
      </c>
      <c r="M5" s="6" t="s">
        <v>108</v>
      </c>
      <c r="N5" s="6" t="s">
        <v>111</v>
      </c>
      <c r="O5" s="6" t="n">
        <v>51</v>
      </c>
      <c r="P5" s="6" t="n">
        <v>80</v>
      </c>
      <c r="Q5" s="6" t="n">
        <v>4</v>
      </c>
      <c r="R5" s="6"/>
      <c r="S5" s="6"/>
      <c r="T5" s="6" t="n">
        <v>92.4</v>
      </c>
      <c r="U5" s="6" t="n">
        <v>5</v>
      </c>
      <c r="V5" s="6" t="n">
        <v>5</v>
      </c>
      <c r="W5" s="6" t="n">
        <v>3</v>
      </c>
      <c r="X5" s="6" t="n">
        <v>0</v>
      </c>
      <c r="Y5" s="6" t="s">
        <v>104</v>
      </c>
      <c r="Z5" s="6" t="s">
        <v>104</v>
      </c>
      <c r="AA5" s="6" t="s">
        <v>112</v>
      </c>
      <c r="AB5" s="8" t="n">
        <f aca="false">IF(OR(F5="",H5=""),"",ROUND((H5-F5)*24,1))</f>
        <v>51</v>
      </c>
      <c r="AC5" s="8" t="n">
        <f aca="false">IF(OR(G5="",H5=""),"",MAX(0,ROUND((H5-G5)*24,1)))</f>
        <v>3</v>
      </c>
      <c r="AD5" s="8" t="n">
        <f aca="false">IF(AC5="","",IF(AC5=0,1,0))</f>
        <v>0</v>
      </c>
      <c r="AE5" s="8" t="n">
        <f aca="false">IF(OR(O5="",P5=""),"",P5-O5)</f>
        <v>29</v>
      </c>
      <c r="AF5" s="8" t="n">
        <f aca="false">IF(A5="","",IF(UPPER(M5)="Y",1,0))</f>
        <v>1</v>
      </c>
      <c r="AG5" s="8" t="n">
        <f aca="false">IF(A5="","",IF(N(R5)&gt;0,1,0))</f>
        <v>0</v>
      </c>
      <c r="AH5" s="9" t="n">
        <f aca="false">IF(I5="","",N(T5)+N(U5)+N(V5)+N(W5))</f>
        <v>105.4</v>
      </c>
      <c r="AI5" s="9" t="n">
        <f aca="false">IF(I5="","",I5-N(R5))</f>
        <v>148</v>
      </c>
      <c r="AJ5" s="9" t="n">
        <f aca="false">IF(I5="","",AI5-AH5)</f>
        <v>42.6</v>
      </c>
      <c r="AK5" s="10" t="n">
        <f aca="false">IF(I5="","",IF(I5=0,"",AJ5/I5))</f>
        <v>0.287837837837838</v>
      </c>
    </row>
    <row r="6" customFormat="false" ht="15" hidden="false" customHeight="false" outlineLevel="0" collapsed="false">
      <c r="A6" s="6" t="s">
        <v>113</v>
      </c>
      <c r="B6" s="6" t="s">
        <v>93</v>
      </c>
      <c r="C6" s="6" t="s">
        <v>104</v>
      </c>
      <c r="D6" s="6" t="s">
        <v>105</v>
      </c>
      <c r="E6" s="6" t="s">
        <v>114</v>
      </c>
      <c r="F6" s="7" t="n">
        <v>46330.3333333333</v>
      </c>
      <c r="G6" s="7" t="n">
        <v>46332.3333333333</v>
      </c>
      <c r="H6" s="7" t="n">
        <v>46331.5</v>
      </c>
      <c r="I6" s="6" t="n">
        <v>59</v>
      </c>
      <c r="J6" s="6" t="n">
        <v>28</v>
      </c>
      <c r="K6" s="6" t="n">
        <v>0</v>
      </c>
      <c r="L6" s="6" t="n">
        <v>0</v>
      </c>
      <c r="M6" s="6" t="s">
        <v>104</v>
      </c>
      <c r="N6" s="6"/>
      <c r="O6" s="6" t="n">
        <v>66</v>
      </c>
      <c r="P6" s="6" t="n">
        <v>82</v>
      </c>
      <c r="Q6" s="6" t="n">
        <v>5</v>
      </c>
      <c r="R6" s="6" t="n">
        <v>0</v>
      </c>
      <c r="S6" s="6"/>
      <c r="T6" s="6" t="n">
        <v>25</v>
      </c>
      <c r="U6" s="6" t="n">
        <v>2.5</v>
      </c>
      <c r="V6" s="6" t="n">
        <v>1</v>
      </c>
      <c r="W6" s="6" t="n">
        <v>1</v>
      </c>
      <c r="X6" s="6"/>
      <c r="Y6" s="6" t="s">
        <v>104</v>
      </c>
      <c r="Z6" s="6" t="s">
        <v>104</v>
      </c>
      <c r="AA6" s="6" t="s">
        <v>115</v>
      </c>
      <c r="AB6" s="8" t="n">
        <f aca="false">IF(OR(F6="",H6=""),"",ROUND((H6-F6)*24,1))</f>
        <v>28</v>
      </c>
      <c r="AC6" s="8" t="n">
        <f aca="false">IF(OR(G6="",H6=""),"",MAX(0,ROUND((H6-G6)*24,1)))</f>
        <v>0</v>
      </c>
      <c r="AD6" s="8" t="n">
        <f aca="false">IF(AC6="","",IF(AC6=0,1,0))</f>
        <v>1</v>
      </c>
      <c r="AE6" s="8" t="n">
        <f aca="false">IF(OR(O6="",P6=""),"",P6-O6)</f>
        <v>16</v>
      </c>
      <c r="AF6" s="8" t="n">
        <f aca="false">IF(A6="","",IF(UPPER(M6)="Y",1,0))</f>
        <v>0</v>
      </c>
      <c r="AG6" s="8" t="n">
        <f aca="false">IF(A6="","",IF(N(R6)&gt;0,1,0))</f>
        <v>0</v>
      </c>
      <c r="AH6" s="9" t="n">
        <f aca="false">IF(I6="","",N(T6)+N(U6)+N(V6)+N(W6))</f>
        <v>29.5</v>
      </c>
      <c r="AI6" s="9" t="n">
        <f aca="false">IF(I6="","",I6-N(R6))</f>
        <v>59</v>
      </c>
      <c r="AJ6" s="9" t="n">
        <f aca="false">IF(I6="","",AI6-AH6)</f>
        <v>29.5</v>
      </c>
      <c r="AK6" s="10" t="n">
        <f aca="false">IF(I6="","",IF(I6=0,"",AJ6/I6))</f>
        <v>0.5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7"/>
      <c r="G7" s="7"/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8" t="str">
        <f aca="false">IF(OR(F7="",H7=""),"",ROUND((H7-F7)*24,1))</f>
        <v/>
      </c>
      <c r="AC7" s="8" t="str">
        <f aca="false">IF(OR(G7="",H7=""),"",MAX(0,ROUND((H7-G7)*24,1)))</f>
        <v/>
      </c>
      <c r="AD7" s="8" t="str">
        <f aca="false">IF(AC7="","",IF(AC7=0,1,0))</f>
        <v/>
      </c>
      <c r="AE7" s="8" t="str">
        <f aca="false">IF(OR(O7="",P7=""),"",P7-O7)</f>
        <v/>
      </c>
      <c r="AF7" s="8" t="str">
        <f aca="false">IF(A7="","",IF(UPPER(M7)="Y",1,0))</f>
        <v/>
      </c>
      <c r="AG7" s="8" t="str">
        <f aca="false">IF(A7="","",IF(N(R7)&gt;0,1,0))</f>
        <v/>
      </c>
      <c r="AH7" s="9" t="str">
        <f aca="false">IF(I7="","",N(T7)+N(U7)+N(V7)+N(W7))</f>
        <v/>
      </c>
      <c r="AI7" s="9" t="str">
        <f aca="false">IF(I7="","",I7-N(R7))</f>
        <v/>
      </c>
      <c r="AJ7" s="9" t="str">
        <f aca="false">IF(I7="","",AI7-AH7)</f>
        <v/>
      </c>
      <c r="AK7" s="10" t="str">
        <f aca="false">IF(I7="","",IF(I7=0,"",AJ7/I7))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7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8" t="str">
        <f aca="false">IF(OR(F8="",H8=""),"",ROUND((H8-F8)*24,1))</f>
        <v/>
      </c>
      <c r="AC8" s="8" t="str">
        <f aca="false">IF(OR(G8="",H8=""),"",MAX(0,ROUND((H8-G8)*24,1)))</f>
        <v/>
      </c>
      <c r="AD8" s="8" t="str">
        <f aca="false">IF(AC8="","",IF(AC8=0,1,0))</f>
        <v/>
      </c>
      <c r="AE8" s="8" t="str">
        <f aca="false">IF(OR(O8="",P8=""),"",P8-O8)</f>
        <v/>
      </c>
      <c r="AF8" s="8" t="str">
        <f aca="false">IF(A8="","",IF(UPPER(M8)="Y",1,0))</f>
        <v/>
      </c>
      <c r="AG8" s="8" t="str">
        <f aca="false">IF(A8="","",IF(N(R8)&gt;0,1,0))</f>
        <v/>
      </c>
      <c r="AH8" s="9" t="str">
        <f aca="false">IF(I8="","",N(T8)+N(U8)+N(V8)+N(W8))</f>
        <v/>
      </c>
      <c r="AI8" s="9" t="str">
        <f aca="false">IF(I8="","",I8-N(R8))</f>
        <v/>
      </c>
      <c r="AJ8" s="9" t="str">
        <f aca="false">IF(I8="","",AI8-AH8)</f>
        <v/>
      </c>
      <c r="AK8" s="10" t="str">
        <f aca="false">IF(I8="","",IF(I8=0,"",AJ8/I8))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7"/>
      <c r="G9" s="7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 t="str">
        <f aca="false">IF(OR(F9="",H9=""),"",ROUND((H9-F9)*24,1))</f>
        <v/>
      </c>
      <c r="AC9" s="8" t="str">
        <f aca="false">IF(OR(G9="",H9=""),"",MAX(0,ROUND((H9-G9)*24,1)))</f>
        <v/>
      </c>
      <c r="AD9" s="8" t="str">
        <f aca="false">IF(AC9="","",IF(AC9=0,1,0))</f>
        <v/>
      </c>
      <c r="AE9" s="8" t="str">
        <f aca="false">IF(OR(O9="",P9=""),"",P9-O9)</f>
        <v/>
      </c>
      <c r="AF9" s="8" t="str">
        <f aca="false">IF(A9="","",IF(UPPER(M9)="Y",1,0))</f>
        <v/>
      </c>
      <c r="AG9" s="8" t="str">
        <f aca="false">IF(A9="","",IF(N(R9)&gt;0,1,0))</f>
        <v/>
      </c>
      <c r="AH9" s="9" t="str">
        <f aca="false">IF(I9="","",N(T9)+N(U9)+N(V9)+N(W9))</f>
        <v/>
      </c>
      <c r="AI9" s="9" t="str">
        <f aca="false">IF(I9="","",I9-N(R9))</f>
        <v/>
      </c>
      <c r="AJ9" s="9" t="str">
        <f aca="false">IF(I9="","",AI9-AH9)</f>
        <v/>
      </c>
      <c r="AK9" s="10" t="str">
        <f aca="false">IF(I9="","",IF(I9=0,"",AJ9/I9))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7"/>
      <c r="G10" s="7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8" t="str">
        <f aca="false">IF(OR(F10="",H10=""),"",ROUND((H10-F10)*24,1))</f>
        <v/>
      </c>
      <c r="AC10" s="8" t="str">
        <f aca="false">IF(OR(G10="",H10=""),"",MAX(0,ROUND((H10-G10)*24,1)))</f>
        <v/>
      </c>
      <c r="AD10" s="8" t="str">
        <f aca="false">IF(AC10="","",IF(AC10=0,1,0))</f>
        <v/>
      </c>
      <c r="AE10" s="8" t="str">
        <f aca="false">IF(OR(O10="",P10=""),"",P10-O10)</f>
        <v/>
      </c>
      <c r="AF10" s="8" t="str">
        <f aca="false">IF(A10="","",IF(UPPER(M10)="Y",1,0))</f>
        <v/>
      </c>
      <c r="AG10" s="8" t="str">
        <f aca="false">IF(A10="","",IF(N(R10)&gt;0,1,0))</f>
        <v/>
      </c>
      <c r="AH10" s="9" t="str">
        <f aca="false">IF(I10="","",N(T10)+N(U10)+N(V10)+N(W10))</f>
        <v/>
      </c>
      <c r="AI10" s="9" t="str">
        <f aca="false">IF(I10="","",I10-N(R10))</f>
        <v/>
      </c>
      <c r="AJ10" s="9" t="str">
        <f aca="false">IF(I10="","",AI10-AH10)</f>
        <v/>
      </c>
      <c r="AK10" s="10" t="str">
        <f aca="false">IF(I10="","",IF(I10=0,"",AJ10/I10))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7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8" t="str">
        <f aca="false">IF(OR(F11="",H11=""),"",ROUND((H11-F11)*24,1))</f>
        <v/>
      </c>
      <c r="AC11" s="8" t="str">
        <f aca="false">IF(OR(G11="",H11=""),"",MAX(0,ROUND((H11-G11)*24,1)))</f>
        <v/>
      </c>
      <c r="AD11" s="8" t="str">
        <f aca="false">IF(AC11="","",IF(AC11=0,1,0))</f>
        <v/>
      </c>
      <c r="AE11" s="8" t="str">
        <f aca="false">IF(OR(O11="",P11=""),"",P11-O11)</f>
        <v/>
      </c>
      <c r="AF11" s="8" t="str">
        <f aca="false">IF(A11="","",IF(UPPER(M11)="Y",1,0))</f>
        <v/>
      </c>
      <c r="AG11" s="8" t="str">
        <f aca="false">IF(A11="","",IF(N(R11)&gt;0,1,0))</f>
        <v/>
      </c>
      <c r="AH11" s="9" t="str">
        <f aca="false">IF(I11="","",N(T11)+N(U11)+N(V11)+N(W11))</f>
        <v/>
      </c>
      <c r="AI11" s="9" t="str">
        <f aca="false">IF(I11="","",I11-N(R11))</f>
        <v/>
      </c>
      <c r="AJ11" s="9" t="str">
        <f aca="false">IF(I11="","",AI11-AH11)</f>
        <v/>
      </c>
      <c r="AK11" s="10" t="str">
        <f aca="false">IF(I11="","",IF(I11=0,"",AJ11/I11))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7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8" t="str">
        <f aca="false">IF(OR(F12="",H12=""),"",ROUND((H12-F12)*24,1))</f>
        <v/>
      </c>
      <c r="AC12" s="8" t="str">
        <f aca="false">IF(OR(G12="",H12=""),"",MAX(0,ROUND((H12-G12)*24,1)))</f>
        <v/>
      </c>
      <c r="AD12" s="8" t="str">
        <f aca="false">IF(AC12="","",IF(AC12=0,1,0))</f>
        <v/>
      </c>
      <c r="AE12" s="8" t="str">
        <f aca="false">IF(OR(O12="",P12=""),"",P12-O12)</f>
        <v/>
      </c>
      <c r="AF12" s="8" t="str">
        <f aca="false">IF(A12="","",IF(UPPER(M12)="Y",1,0))</f>
        <v/>
      </c>
      <c r="AG12" s="8" t="str">
        <f aca="false">IF(A12="","",IF(N(R12)&gt;0,1,0))</f>
        <v/>
      </c>
      <c r="AH12" s="9" t="str">
        <f aca="false">IF(I12="","",N(T12)+N(U12)+N(V12)+N(W12))</f>
        <v/>
      </c>
      <c r="AI12" s="9" t="str">
        <f aca="false">IF(I12="","",I12-N(R12))</f>
        <v/>
      </c>
      <c r="AJ12" s="9" t="str">
        <f aca="false">IF(I12="","",AI12-AH12)</f>
        <v/>
      </c>
      <c r="AK12" s="10" t="str">
        <f aca="false">IF(I12="","",IF(I12=0,"",AJ12/I12))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7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8" t="str">
        <f aca="false">IF(OR(F13="",H13=""),"",ROUND((H13-F13)*24,1))</f>
        <v/>
      </c>
      <c r="AC13" s="8" t="str">
        <f aca="false">IF(OR(G13="",H13=""),"",MAX(0,ROUND((H13-G13)*24,1)))</f>
        <v/>
      </c>
      <c r="AD13" s="8" t="str">
        <f aca="false">IF(AC13="","",IF(AC13=0,1,0))</f>
        <v/>
      </c>
      <c r="AE13" s="8" t="str">
        <f aca="false">IF(OR(O13="",P13=""),"",P13-O13)</f>
        <v/>
      </c>
      <c r="AF13" s="8" t="str">
        <f aca="false">IF(A13="","",IF(UPPER(M13)="Y",1,0))</f>
        <v/>
      </c>
      <c r="AG13" s="8" t="str">
        <f aca="false">IF(A13="","",IF(N(R13)&gt;0,1,0))</f>
        <v/>
      </c>
      <c r="AH13" s="9" t="str">
        <f aca="false">IF(I13="","",N(T13)+N(U13)+N(V13)+N(W13))</f>
        <v/>
      </c>
      <c r="AI13" s="9" t="str">
        <f aca="false">IF(I13="","",I13-N(R13))</f>
        <v/>
      </c>
      <c r="AJ13" s="9" t="str">
        <f aca="false">IF(I13="","",AI13-AH13)</f>
        <v/>
      </c>
      <c r="AK13" s="10" t="str">
        <f aca="false">IF(I13="","",IF(I13=0,"",AJ13/I13))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7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8" t="str">
        <f aca="false">IF(OR(F14="",H14=""),"",ROUND((H14-F14)*24,1))</f>
        <v/>
      </c>
      <c r="AC14" s="8" t="str">
        <f aca="false">IF(OR(G14="",H14=""),"",MAX(0,ROUND((H14-G14)*24,1)))</f>
        <v/>
      </c>
      <c r="AD14" s="8" t="str">
        <f aca="false">IF(AC14="","",IF(AC14=0,1,0))</f>
        <v/>
      </c>
      <c r="AE14" s="8" t="str">
        <f aca="false">IF(OR(O14="",P14=""),"",P14-O14)</f>
        <v/>
      </c>
      <c r="AF14" s="8" t="str">
        <f aca="false">IF(A14="","",IF(UPPER(M14)="Y",1,0))</f>
        <v/>
      </c>
      <c r="AG14" s="8" t="str">
        <f aca="false">IF(A14="","",IF(N(R14)&gt;0,1,0))</f>
        <v/>
      </c>
      <c r="AH14" s="9" t="str">
        <f aca="false">IF(I14="","",N(T14)+N(U14)+N(V14)+N(W14))</f>
        <v/>
      </c>
      <c r="AI14" s="9" t="str">
        <f aca="false">IF(I14="","",I14-N(R14))</f>
        <v/>
      </c>
      <c r="AJ14" s="9" t="str">
        <f aca="false">IF(I14="","",AI14-AH14)</f>
        <v/>
      </c>
      <c r="AK14" s="10" t="str">
        <f aca="false">IF(I14="","",IF(I14=0,"",AJ14/I14))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7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8" t="str">
        <f aca="false">IF(OR(F15="",H15=""),"",ROUND((H15-F15)*24,1))</f>
        <v/>
      </c>
      <c r="AC15" s="8" t="str">
        <f aca="false">IF(OR(G15="",H15=""),"",MAX(0,ROUND((H15-G15)*24,1)))</f>
        <v/>
      </c>
      <c r="AD15" s="8" t="str">
        <f aca="false">IF(AC15="","",IF(AC15=0,1,0))</f>
        <v/>
      </c>
      <c r="AE15" s="8" t="str">
        <f aca="false">IF(OR(O15="",P15=""),"",P15-O15)</f>
        <v/>
      </c>
      <c r="AF15" s="8" t="str">
        <f aca="false">IF(A15="","",IF(UPPER(M15)="Y",1,0))</f>
        <v/>
      </c>
      <c r="AG15" s="8" t="str">
        <f aca="false">IF(A15="","",IF(N(R15)&gt;0,1,0))</f>
        <v/>
      </c>
      <c r="AH15" s="9" t="str">
        <f aca="false">IF(I15="","",N(T15)+N(U15)+N(V15)+N(W15))</f>
        <v/>
      </c>
      <c r="AI15" s="9" t="str">
        <f aca="false">IF(I15="","",I15-N(R15))</f>
        <v/>
      </c>
      <c r="AJ15" s="9" t="str">
        <f aca="false">IF(I15="","",AI15-AH15)</f>
        <v/>
      </c>
      <c r="AK15" s="10" t="str">
        <f aca="false">IF(I15="","",IF(I15=0,"",AJ15/I15))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7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8" t="str">
        <f aca="false">IF(OR(F16="",H16=""),"",ROUND((H16-F16)*24,1))</f>
        <v/>
      </c>
      <c r="AC16" s="8" t="str">
        <f aca="false">IF(OR(G16="",H16=""),"",MAX(0,ROUND((H16-G16)*24,1)))</f>
        <v/>
      </c>
      <c r="AD16" s="8" t="str">
        <f aca="false">IF(AC16="","",IF(AC16=0,1,0))</f>
        <v/>
      </c>
      <c r="AE16" s="8" t="str">
        <f aca="false">IF(OR(O16="",P16=""),"",P16-O16)</f>
        <v/>
      </c>
      <c r="AF16" s="8" t="str">
        <f aca="false">IF(A16="","",IF(UPPER(M16)="Y",1,0))</f>
        <v/>
      </c>
      <c r="AG16" s="8" t="str">
        <f aca="false">IF(A16="","",IF(N(R16)&gt;0,1,0))</f>
        <v/>
      </c>
      <c r="AH16" s="9" t="str">
        <f aca="false">IF(I16="","",N(T16)+N(U16)+N(V16)+N(W16))</f>
        <v/>
      </c>
      <c r="AI16" s="9" t="str">
        <f aca="false">IF(I16="","",I16-N(R16))</f>
        <v/>
      </c>
      <c r="AJ16" s="9" t="str">
        <f aca="false">IF(I16="","",AI16-AH16)</f>
        <v/>
      </c>
      <c r="AK16" s="10" t="str">
        <f aca="false">IF(I16="","",IF(I16=0,"",AJ16/I16))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7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8" t="str">
        <f aca="false">IF(OR(F17="",H17=""),"",ROUND((H17-F17)*24,1))</f>
        <v/>
      </c>
      <c r="AC17" s="8" t="str">
        <f aca="false">IF(OR(G17="",H17=""),"",MAX(0,ROUND((H17-G17)*24,1)))</f>
        <v/>
      </c>
      <c r="AD17" s="8" t="str">
        <f aca="false">IF(AC17="","",IF(AC17=0,1,0))</f>
        <v/>
      </c>
      <c r="AE17" s="8" t="str">
        <f aca="false">IF(OR(O17="",P17=""),"",P17-O17)</f>
        <v/>
      </c>
      <c r="AF17" s="8" t="str">
        <f aca="false">IF(A17="","",IF(UPPER(M17)="Y",1,0))</f>
        <v/>
      </c>
      <c r="AG17" s="8" t="str">
        <f aca="false">IF(A17="","",IF(N(R17)&gt;0,1,0))</f>
        <v/>
      </c>
      <c r="AH17" s="9" t="str">
        <f aca="false">IF(I17="","",N(T17)+N(U17)+N(V17)+N(W17))</f>
        <v/>
      </c>
      <c r="AI17" s="9" t="str">
        <f aca="false">IF(I17="","",I17-N(R17))</f>
        <v/>
      </c>
      <c r="AJ17" s="9" t="str">
        <f aca="false">IF(I17="","",AI17-AH17)</f>
        <v/>
      </c>
      <c r="AK17" s="10" t="str">
        <f aca="false">IF(I17="","",IF(I17=0,"",AJ17/I17))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7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8" t="str">
        <f aca="false">IF(OR(F18="",H18=""),"",ROUND((H18-F18)*24,1))</f>
        <v/>
      </c>
      <c r="AC18" s="8" t="str">
        <f aca="false">IF(OR(G18="",H18=""),"",MAX(0,ROUND((H18-G18)*24,1)))</f>
        <v/>
      </c>
      <c r="AD18" s="8" t="str">
        <f aca="false">IF(AC18="","",IF(AC18=0,1,0))</f>
        <v/>
      </c>
      <c r="AE18" s="8" t="str">
        <f aca="false">IF(OR(O18="",P18=""),"",P18-O18)</f>
        <v/>
      </c>
      <c r="AF18" s="8" t="str">
        <f aca="false">IF(A18="","",IF(UPPER(M18)="Y",1,0))</f>
        <v/>
      </c>
      <c r="AG18" s="8" t="str">
        <f aca="false">IF(A18="","",IF(N(R18)&gt;0,1,0))</f>
        <v/>
      </c>
      <c r="AH18" s="9" t="str">
        <f aca="false">IF(I18="","",N(T18)+N(U18)+N(V18)+N(W18))</f>
        <v/>
      </c>
      <c r="AI18" s="9" t="str">
        <f aca="false">IF(I18="","",I18-N(R18))</f>
        <v/>
      </c>
      <c r="AJ18" s="9" t="str">
        <f aca="false">IF(I18="","",AI18-AH18)</f>
        <v/>
      </c>
      <c r="AK18" s="10" t="str">
        <f aca="false">IF(I18="","",IF(I18=0,"",AJ18/I18))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7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8" t="str">
        <f aca="false">IF(OR(F19="",H19=""),"",ROUND((H19-F19)*24,1))</f>
        <v/>
      </c>
      <c r="AC19" s="8" t="str">
        <f aca="false">IF(OR(G19="",H19=""),"",MAX(0,ROUND((H19-G19)*24,1)))</f>
        <v/>
      </c>
      <c r="AD19" s="8" t="str">
        <f aca="false">IF(AC19="","",IF(AC19=0,1,0))</f>
        <v/>
      </c>
      <c r="AE19" s="8" t="str">
        <f aca="false">IF(OR(O19="",P19=""),"",P19-O19)</f>
        <v/>
      </c>
      <c r="AF19" s="8" t="str">
        <f aca="false">IF(A19="","",IF(UPPER(M19)="Y",1,0))</f>
        <v/>
      </c>
      <c r="AG19" s="8" t="str">
        <f aca="false">IF(A19="","",IF(N(R19)&gt;0,1,0))</f>
        <v/>
      </c>
      <c r="AH19" s="9" t="str">
        <f aca="false">IF(I19="","",N(T19)+N(U19)+N(V19)+N(W19))</f>
        <v/>
      </c>
      <c r="AI19" s="9" t="str">
        <f aca="false">IF(I19="","",I19-N(R19))</f>
        <v/>
      </c>
      <c r="AJ19" s="9" t="str">
        <f aca="false">IF(I19="","",AI19-AH19)</f>
        <v/>
      </c>
      <c r="AK19" s="10" t="str">
        <f aca="false">IF(I19="","",IF(I19=0,"",AJ19/I19))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7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8" t="str">
        <f aca="false">IF(OR(F20="",H20=""),"",ROUND((H20-F20)*24,1))</f>
        <v/>
      </c>
      <c r="AC20" s="8" t="str">
        <f aca="false">IF(OR(G20="",H20=""),"",MAX(0,ROUND((H20-G20)*24,1)))</f>
        <v/>
      </c>
      <c r="AD20" s="8" t="str">
        <f aca="false">IF(AC20="","",IF(AC20=0,1,0))</f>
        <v/>
      </c>
      <c r="AE20" s="8" t="str">
        <f aca="false">IF(OR(O20="",P20=""),"",P20-O20)</f>
        <v/>
      </c>
      <c r="AF20" s="8" t="str">
        <f aca="false">IF(A20="","",IF(UPPER(M20)="Y",1,0))</f>
        <v/>
      </c>
      <c r="AG20" s="8" t="str">
        <f aca="false">IF(A20="","",IF(N(R20)&gt;0,1,0))</f>
        <v/>
      </c>
      <c r="AH20" s="9" t="str">
        <f aca="false">IF(I20="","",N(T20)+N(U20)+N(V20)+N(W20))</f>
        <v/>
      </c>
      <c r="AI20" s="9" t="str">
        <f aca="false">IF(I20="","",I20-N(R20))</f>
        <v/>
      </c>
      <c r="AJ20" s="9" t="str">
        <f aca="false">IF(I20="","",AI20-AH20)</f>
        <v/>
      </c>
      <c r="AK20" s="10" t="str">
        <f aca="false">IF(I20="","",IF(I20=0,"",AJ20/I20))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7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8" t="str">
        <f aca="false">IF(OR(F21="",H21=""),"",ROUND((H21-F21)*24,1))</f>
        <v/>
      </c>
      <c r="AC21" s="8" t="str">
        <f aca="false">IF(OR(G21="",H21=""),"",MAX(0,ROUND((H21-G21)*24,1)))</f>
        <v/>
      </c>
      <c r="AD21" s="8" t="str">
        <f aca="false">IF(AC21="","",IF(AC21=0,1,0))</f>
        <v/>
      </c>
      <c r="AE21" s="8" t="str">
        <f aca="false">IF(OR(O21="",P21=""),"",P21-O21)</f>
        <v/>
      </c>
      <c r="AF21" s="8" t="str">
        <f aca="false">IF(A21="","",IF(UPPER(M21)="Y",1,0))</f>
        <v/>
      </c>
      <c r="AG21" s="8" t="str">
        <f aca="false">IF(A21="","",IF(N(R21)&gt;0,1,0))</f>
        <v/>
      </c>
      <c r="AH21" s="9" t="str">
        <f aca="false">IF(I21="","",N(T21)+N(U21)+N(V21)+N(W21))</f>
        <v/>
      </c>
      <c r="AI21" s="9" t="str">
        <f aca="false">IF(I21="","",I21-N(R21))</f>
        <v/>
      </c>
      <c r="AJ21" s="9" t="str">
        <f aca="false">IF(I21="","",AI21-AH21)</f>
        <v/>
      </c>
      <c r="AK21" s="10" t="str">
        <f aca="false">IF(I21="","",IF(I21=0,"",AJ21/I21))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7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8" t="str">
        <f aca="false">IF(OR(F22="",H22=""),"",ROUND((H22-F22)*24,1))</f>
        <v/>
      </c>
      <c r="AC22" s="8" t="str">
        <f aca="false">IF(OR(G22="",H22=""),"",MAX(0,ROUND((H22-G22)*24,1)))</f>
        <v/>
      </c>
      <c r="AD22" s="8" t="str">
        <f aca="false">IF(AC22="","",IF(AC22=0,1,0))</f>
        <v/>
      </c>
      <c r="AE22" s="8" t="str">
        <f aca="false">IF(OR(O22="",P22=""),"",P22-O22)</f>
        <v/>
      </c>
      <c r="AF22" s="8" t="str">
        <f aca="false">IF(A22="","",IF(UPPER(M22)="Y",1,0))</f>
        <v/>
      </c>
      <c r="AG22" s="8" t="str">
        <f aca="false">IF(A22="","",IF(N(R22)&gt;0,1,0))</f>
        <v/>
      </c>
      <c r="AH22" s="9" t="str">
        <f aca="false">IF(I22="","",N(T22)+N(U22)+N(V22)+N(W22))</f>
        <v/>
      </c>
      <c r="AI22" s="9" t="str">
        <f aca="false">IF(I22="","",I22-N(R22))</f>
        <v/>
      </c>
      <c r="AJ22" s="9" t="str">
        <f aca="false">IF(I22="","",AI22-AH22)</f>
        <v/>
      </c>
      <c r="AK22" s="10" t="str">
        <f aca="false">IF(I22="","",IF(I22=0,"",AJ22/I22))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8" t="str">
        <f aca="false">IF(OR(F23="",H23=""),"",ROUND((H23-F23)*24,1))</f>
        <v/>
      </c>
      <c r="AC23" s="8" t="str">
        <f aca="false">IF(OR(G23="",H23=""),"",MAX(0,ROUND((H23-G23)*24,1)))</f>
        <v/>
      </c>
      <c r="AD23" s="8" t="str">
        <f aca="false">IF(AC23="","",IF(AC23=0,1,0))</f>
        <v/>
      </c>
      <c r="AE23" s="8" t="str">
        <f aca="false">IF(OR(O23="",P23=""),"",P23-O23)</f>
        <v/>
      </c>
      <c r="AF23" s="8" t="str">
        <f aca="false">IF(A23="","",IF(UPPER(M23)="Y",1,0))</f>
        <v/>
      </c>
      <c r="AG23" s="8" t="str">
        <f aca="false">IF(A23="","",IF(N(R23)&gt;0,1,0))</f>
        <v/>
      </c>
      <c r="AH23" s="9" t="str">
        <f aca="false">IF(I23="","",N(T23)+N(U23)+N(V23)+N(W23))</f>
        <v/>
      </c>
      <c r="AI23" s="9" t="str">
        <f aca="false">IF(I23="","",I23-N(R23))</f>
        <v/>
      </c>
      <c r="AJ23" s="9" t="str">
        <f aca="false">IF(I23="","",AI23-AH23)</f>
        <v/>
      </c>
      <c r="AK23" s="10" t="str">
        <f aca="false">IF(I23="","",IF(I23=0,"",AJ23/I23))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8" t="str">
        <f aca="false">IF(OR(F24="",H24=""),"",ROUND((H24-F24)*24,1))</f>
        <v/>
      </c>
      <c r="AC24" s="8" t="str">
        <f aca="false">IF(OR(G24="",H24=""),"",MAX(0,ROUND((H24-G24)*24,1)))</f>
        <v/>
      </c>
      <c r="AD24" s="8" t="str">
        <f aca="false">IF(AC24="","",IF(AC24=0,1,0))</f>
        <v/>
      </c>
      <c r="AE24" s="8" t="str">
        <f aca="false">IF(OR(O24="",P24=""),"",P24-O24)</f>
        <v/>
      </c>
      <c r="AF24" s="8" t="str">
        <f aca="false">IF(A24="","",IF(UPPER(M24)="Y",1,0))</f>
        <v/>
      </c>
      <c r="AG24" s="8" t="str">
        <f aca="false">IF(A24="","",IF(N(R24)&gt;0,1,0))</f>
        <v/>
      </c>
      <c r="AH24" s="9" t="str">
        <f aca="false">IF(I24="","",N(T24)+N(U24)+N(V24)+N(W24))</f>
        <v/>
      </c>
      <c r="AI24" s="9" t="str">
        <f aca="false">IF(I24="","",I24-N(R24))</f>
        <v/>
      </c>
      <c r="AJ24" s="9" t="str">
        <f aca="false">IF(I24="","",AI24-AH24)</f>
        <v/>
      </c>
      <c r="AK24" s="10" t="str">
        <f aca="false">IF(I24="","",IF(I24=0,"",AJ24/I24))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7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8" t="str">
        <f aca="false">IF(OR(F25="",H25=""),"",ROUND((H25-F25)*24,1))</f>
        <v/>
      </c>
      <c r="AC25" s="8" t="str">
        <f aca="false">IF(OR(G25="",H25=""),"",MAX(0,ROUND((H25-G25)*24,1)))</f>
        <v/>
      </c>
      <c r="AD25" s="8" t="str">
        <f aca="false">IF(AC25="","",IF(AC25=0,1,0))</f>
        <v/>
      </c>
      <c r="AE25" s="8" t="str">
        <f aca="false">IF(OR(O25="",P25=""),"",P25-O25)</f>
        <v/>
      </c>
      <c r="AF25" s="8" t="str">
        <f aca="false">IF(A25="","",IF(UPPER(M25)="Y",1,0))</f>
        <v/>
      </c>
      <c r="AG25" s="8" t="str">
        <f aca="false">IF(A25="","",IF(N(R25)&gt;0,1,0))</f>
        <v/>
      </c>
      <c r="AH25" s="9" t="str">
        <f aca="false">IF(I25="","",N(T25)+N(U25)+N(V25)+N(W25))</f>
        <v/>
      </c>
      <c r="AI25" s="9" t="str">
        <f aca="false">IF(I25="","",I25-N(R25))</f>
        <v/>
      </c>
      <c r="AJ25" s="9" t="str">
        <f aca="false">IF(I25="","",AI25-AH25)</f>
        <v/>
      </c>
      <c r="AK25" s="10" t="str">
        <f aca="false">IF(I25="","",IF(I25=0,"",AJ25/I25))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7"/>
      <c r="H26" s="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8" t="str">
        <f aca="false">IF(OR(F26="",H26=""),"",ROUND((H26-F26)*24,1))</f>
        <v/>
      </c>
      <c r="AC26" s="8" t="str">
        <f aca="false">IF(OR(G26="",H26=""),"",MAX(0,ROUND((H26-G26)*24,1)))</f>
        <v/>
      </c>
      <c r="AD26" s="8" t="str">
        <f aca="false">IF(AC26="","",IF(AC26=0,1,0))</f>
        <v/>
      </c>
      <c r="AE26" s="8" t="str">
        <f aca="false">IF(OR(O26="",P26=""),"",P26-O26)</f>
        <v/>
      </c>
      <c r="AF26" s="8" t="str">
        <f aca="false">IF(A26="","",IF(UPPER(M26)="Y",1,0))</f>
        <v/>
      </c>
      <c r="AG26" s="8" t="str">
        <f aca="false">IF(A26="","",IF(N(R26)&gt;0,1,0))</f>
        <v/>
      </c>
      <c r="AH26" s="9" t="str">
        <f aca="false">IF(I26="","",N(T26)+N(U26)+N(V26)+N(W26))</f>
        <v/>
      </c>
      <c r="AI26" s="9" t="str">
        <f aca="false">IF(I26="","",I26-N(R26))</f>
        <v/>
      </c>
      <c r="AJ26" s="9" t="str">
        <f aca="false">IF(I26="","",AI26-AH26)</f>
        <v/>
      </c>
      <c r="AK26" s="10" t="str">
        <f aca="false">IF(I26="","",IF(I26=0,"",AJ26/I26))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8" t="str">
        <f aca="false">IF(OR(F27="",H27=""),"",ROUND((H27-F27)*24,1))</f>
        <v/>
      </c>
      <c r="AC27" s="8" t="str">
        <f aca="false">IF(OR(G27="",H27=""),"",MAX(0,ROUND((H27-G27)*24,1)))</f>
        <v/>
      </c>
      <c r="AD27" s="8" t="str">
        <f aca="false">IF(AC27="","",IF(AC27=0,1,0))</f>
        <v/>
      </c>
      <c r="AE27" s="8" t="str">
        <f aca="false">IF(OR(O27="",P27=""),"",P27-O27)</f>
        <v/>
      </c>
      <c r="AF27" s="8" t="str">
        <f aca="false">IF(A27="","",IF(UPPER(M27)="Y",1,0))</f>
        <v/>
      </c>
      <c r="AG27" s="8" t="str">
        <f aca="false">IF(A27="","",IF(N(R27)&gt;0,1,0))</f>
        <v/>
      </c>
      <c r="AH27" s="9" t="str">
        <f aca="false">IF(I27="","",N(T27)+N(U27)+N(V27)+N(W27))</f>
        <v/>
      </c>
      <c r="AI27" s="9" t="str">
        <f aca="false">IF(I27="","",I27-N(R27))</f>
        <v/>
      </c>
      <c r="AJ27" s="9" t="str">
        <f aca="false">IF(I27="","",AI27-AH27)</f>
        <v/>
      </c>
      <c r="AK27" s="10" t="str">
        <f aca="false">IF(I27="","",IF(I27=0,"",AJ27/I27))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7"/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8" t="str">
        <f aca="false">IF(OR(F28="",H28=""),"",ROUND((H28-F28)*24,1))</f>
        <v/>
      </c>
      <c r="AC28" s="8" t="str">
        <f aca="false">IF(OR(G28="",H28=""),"",MAX(0,ROUND((H28-G28)*24,1)))</f>
        <v/>
      </c>
      <c r="AD28" s="8" t="str">
        <f aca="false">IF(AC28="","",IF(AC28=0,1,0))</f>
        <v/>
      </c>
      <c r="AE28" s="8" t="str">
        <f aca="false">IF(OR(O28="",P28=""),"",P28-O28)</f>
        <v/>
      </c>
      <c r="AF28" s="8" t="str">
        <f aca="false">IF(A28="","",IF(UPPER(M28)="Y",1,0))</f>
        <v/>
      </c>
      <c r="AG28" s="8" t="str">
        <f aca="false">IF(A28="","",IF(N(R28)&gt;0,1,0))</f>
        <v/>
      </c>
      <c r="AH28" s="9" t="str">
        <f aca="false">IF(I28="","",N(T28)+N(U28)+N(V28)+N(W28))</f>
        <v/>
      </c>
      <c r="AI28" s="9" t="str">
        <f aca="false">IF(I28="","",I28-N(R28))</f>
        <v/>
      </c>
      <c r="AJ28" s="9" t="str">
        <f aca="false">IF(I28="","",AI28-AH28)</f>
        <v/>
      </c>
      <c r="AK28" s="10" t="str">
        <f aca="false">IF(I28="","",IF(I28=0,"",AJ28/I28))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7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8" t="str">
        <f aca="false">IF(OR(F29="",H29=""),"",ROUND((H29-F29)*24,1))</f>
        <v/>
      </c>
      <c r="AC29" s="8" t="str">
        <f aca="false">IF(OR(G29="",H29=""),"",MAX(0,ROUND((H29-G29)*24,1)))</f>
        <v/>
      </c>
      <c r="AD29" s="8" t="str">
        <f aca="false">IF(AC29="","",IF(AC29=0,1,0))</f>
        <v/>
      </c>
      <c r="AE29" s="8" t="str">
        <f aca="false">IF(OR(O29="",P29=""),"",P29-O29)</f>
        <v/>
      </c>
      <c r="AF29" s="8" t="str">
        <f aca="false">IF(A29="","",IF(UPPER(M29)="Y",1,0))</f>
        <v/>
      </c>
      <c r="AG29" s="8" t="str">
        <f aca="false">IF(A29="","",IF(N(R29)&gt;0,1,0))</f>
        <v/>
      </c>
      <c r="AH29" s="9" t="str">
        <f aca="false">IF(I29="","",N(T29)+N(U29)+N(V29)+N(W29))</f>
        <v/>
      </c>
      <c r="AI29" s="9" t="str">
        <f aca="false">IF(I29="","",I29-N(R29))</f>
        <v/>
      </c>
      <c r="AJ29" s="9" t="str">
        <f aca="false">IF(I29="","",AI29-AH29)</f>
        <v/>
      </c>
      <c r="AK29" s="10" t="str">
        <f aca="false">IF(I29="","",IF(I29=0,"",AJ29/I29))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7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8" t="str">
        <f aca="false">IF(OR(F30="",H30=""),"",ROUND((H30-F30)*24,1))</f>
        <v/>
      </c>
      <c r="AC30" s="8" t="str">
        <f aca="false">IF(OR(G30="",H30=""),"",MAX(0,ROUND((H30-G30)*24,1)))</f>
        <v/>
      </c>
      <c r="AD30" s="8" t="str">
        <f aca="false">IF(AC30="","",IF(AC30=0,1,0))</f>
        <v/>
      </c>
      <c r="AE30" s="8" t="str">
        <f aca="false">IF(OR(O30="",P30=""),"",P30-O30)</f>
        <v/>
      </c>
      <c r="AF30" s="8" t="str">
        <f aca="false">IF(A30="","",IF(UPPER(M30)="Y",1,0))</f>
        <v/>
      </c>
      <c r="AG30" s="8" t="str">
        <f aca="false">IF(A30="","",IF(N(R30)&gt;0,1,0))</f>
        <v/>
      </c>
      <c r="AH30" s="9" t="str">
        <f aca="false">IF(I30="","",N(T30)+N(U30)+N(V30)+N(W30))</f>
        <v/>
      </c>
      <c r="AI30" s="9" t="str">
        <f aca="false">IF(I30="","",I30-N(R30))</f>
        <v/>
      </c>
      <c r="AJ30" s="9" t="str">
        <f aca="false">IF(I30="","",AI30-AH30)</f>
        <v/>
      </c>
      <c r="AK30" s="10" t="str">
        <f aca="false">IF(I30="","",IF(I30=0,"",AJ30/I30))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7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8" t="str">
        <f aca="false">IF(OR(F31="",H31=""),"",ROUND((H31-F31)*24,1))</f>
        <v/>
      </c>
      <c r="AC31" s="8" t="str">
        <f aca="false">IF(OR(G31="",H31=""),"",MAX(0,ROUND((H31-G31)*24,1)))</f>
        <v/>
      </c>
      <c r="AD31" s="8" t="str">
        <f aca="false">IF(AC31="","",IF(AC31=0,1,0))</f>
        <v/>
      </c>
      <c r="AE31" s="8" t="str">
        <f aca="false">IF(OR(O31="",P31=""),"",P31-O31)</f>
        <v/>
      </c>
      <c r="AF31" s="8" t="str">
        <f aca="false">IF(A31="","",IF(UPPER(M31)="Y",1,0))</f>
        <v/>
      </c>
      <c r="AG31" s="8" t="str">
        <f aca="false">IF(A31="","",IF(N(R31)&gt;0,1,0))</f>
        <v/>
      </c>
      <c r="AH31" s="9" t="str">
        <f aca="false">IF(I31="","",N(T31)+N(U31)+N(V31)+N(W31))</f>
        <v/>
      </c>
      <c r="AI31" s="9" t="str">
        <f aca="false">IF(I31="","",I31-N(R31))</f>
        <v/>
      </c>
      <c r="AJ31" s="9" t="str">
        <f aca="false">IF(I31="","",AI31-AH31)</f>
        <v/>
      </c>
      <c r="AK31" s="10" t="str">
        <f aca="false">IF(I31="","",IF(I31=0,"",AJ31/I31))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7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8" t="str">
        <f aca="false">IF(OR(F32="",H32=""),"",ROUND((H32-F32)*24,1))</f>
        <v/>
      </c>
      <c r="AC32" s="8" t="str">
        <f aca="false">IF(OR(G32="",H32=""),"",MAX(0,ROUND((H32-G32)*24,1)))</f>
        <v/>
      </c>
      <c r="AD32" s="8" t="str">
        <f aca="false">IF(AC32="","",IF(AC32=0,1,0))</f>
        <v/>
      </c>
      <c r="AE32" s="8" t="str">
        <f aca="false">IF(OR(O32="",P32=""),"",P32-O32)</f>
        <v/>
      </c>
      <c r="AF32" s="8" t="str">
        <f aca="false">IF(A32="","",IF(UPPER(M32)="Y",1,0))</f>
        <v/>
      </c>
      <c r="AG32" s="8" t="str">
        <f aca="false">IF(A32="","",IF(N(R32)&gt;0,1,0))</f>
        <v/>
      </c>
      <c r="AH32" s="9" t="str">
        <f aca="false">IF(I32="","",N(T32)+N(U32)+N(V32)+N(W32))</f>
        <v/>
      </c>
      <c r="AI32" s="9" t="str">
        <f aca="false">IF(I32="","",I32-N(R32))</f>
        <v/>
      </c>
      <c r="AJ32" s="9" t="str">
        <f aca="false">IF(I32="","",AI32-AH32)</f>
        <v/>
      </c>
      <c r="AK32" s="10" t="str">
        <f aca="false">IF(I32="","",IF(I32=0,"",AJ32/I32))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7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8" t="str">
        <f aca="false">IF(OR(F33="",H33=""),"",ROUND((H33-F33)*24,1))</f>
        <v/>
      </c>
      <c r="AC33" s="8" t="str">
        <f aca="false">IF(OR(G33="",H33=""),"",MAX(0,ROUND((H33-G33)*24,1)))</f>
        <v/>
      </c>
      <c r="AD33" s="8" t="str">
        <f aca="false">IF(AC33="","",IF(AC33=0,1,0))</f>
        <v/>
      </c>
      <c r="AE33" s="8" t="str">
        <f aca="false">IF(OR(O33="",P33=""),"",P33-O33)</f>
        <v/>
      </c>
      <c r="AF33" s="8" t="str">
        <f aca="false">IF(A33="","",IF(UPPER(M33)="Y",1,0))</f>
        <v/>
      </c>
      <c r="AG33" s="8" t="str">
        <f aca="false">IF(A33="","",IF(N(R33)&gt;0,1,0))</f>
        <v/>
      </c>
      <c r="AH33" s="9" t="str">
        <f aca="false">IF(I33="","",N(T33)+N(U33)+N(V33)+N(W33))</f>
        <v/>
      </c>
      <c r="AI33" s="9" t="str">
        <f aca="false">IF(I33="","",I33-N(R33))</f>
        <v/>
      </c>
      <c r="AJ33" s="9" t="str">
        <f aca="false">IF(I33="","",AI33-AH33)</f>
        <v/>
      </c>
      <c r="AK33" s="10" t="str">
        <f aca="false">IF(I33="","",IF(I33=0,"",AJ33/I33))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7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8" t="str">
        <f aca="false">IF(OR(F34="",H34=""),"",ROUND((H34-F34)*24,1))</f>
        <v/>
      </c>
      <c r="AC34" s="8" t="str">
        <f aca="false">IF(OR(G34="",H34=""),"",MAX(0,ROUND((H34-G34)*24,1)))</f>
        <v/>
      </c>
      <c r="AD34" s="8" t="str">
        <f aca="false">IF(AC34="","",IF(AC34=0,1,0))</f>
        <v/>
      </c>
      <c r="AE34" s="8" t="str">
        <f aca="false">IF(OR(O34="",P34=""),"",P34-O34)</f>
        <v/>
      </c>
      <c r="AF34" s="8" t="str">
        <f aca="false">IF(A34="","",IF(UPPER(M34)="Y",1,0))</f>
        <v/>
      </c>
      <c r="AG34" s="8" t="str">
        <f aca="false">IF(A34="","",IF(N(R34)&gt;0,1,0))</f>
        <v/>
      </c>
      <c r="AH34" s="9" t="str">
        <f aca="false">IF(I34="","",N(T34)+N(U34)+N(V34)+N(W34))</f>
        <v/>
      </c>
      <c r="AI34" s="9" t="str">
        <f aca="false">IF(I34="","",I34-N(R34))</f>
        <v/>
      </c>
      <c r="AJ34" s="9" t="str">
        <f aca="false">IF(I34="","",AI34-AH34)</f>
        <v/>
      </c>
      <c r="AK34" s="10" t="str">
        <f aca="false">IF(I34="","",IF(I34=0,"",AJ34/I34))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7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8" t="str">
        <f aca="false">IF(OR(F35="",H35=""),"",ROUND((H35-F35)*24,1))</f>
        <v/>
      </c>
      <c r="AC35" s="8" t="str">
        <f aca="false">IF(OR(G35="",H35=""),"",MAX(0,ROUND((H35-G35)*24,1)))</f>
        <v/>
      </c>
      <c r="AD35" s="8" t="str">
        <f aca="false">IF(AC35="","",IF(AC35=0,1,0))</f>
        <v/>
      </c>
      <c r="AE35" s="8" t="str">
        <f aca="false">IF(OR(O35="",P35=""),"",P35-O35)</f>
        <v/>
      </c>
      <c r="AF35" s="8" t="str">
        <f aca="false">IF(A35="","",IF(UPPER(M35)="Y",1,0))</f>
        <v/>
      </c>
      <c r="AG35" s="8" t="str">
        <f aca="false">IF(A35="","",IF(N(R35)&gt;0,1,0))</f>
        <v/>
      </c>
      <c r="AH35" s="9" t="str">
        <f aca="false">IF(I35="","",N(T35)+N(U35)+N(V35)+N(W35))</f>
        <v/>
      </c>
      <c r="AI35" s="9" t="str">
        <f aca="false">IF(I35="","",I35-N(R35))</f>
        <v/>
      </c>
      <c r="AJ35" s="9" t="str">
        <f aca="false">IF(I35="","",AI35-AH35)</f>
        <v/>
      </c>
      <c r="AK35" s="10" t="str">
        <f aca="false">IF(I35="","",IF(I35=0,"",AJ35/I35))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8" t="str">
        <f aca="false">IF(OR(F36="",H36=""),"",ROUND((H36-F36)*24,1))</f>
        <v/>
      </c>
      <c r="AC36" s="8" t="str">
        <f aca="false">IF(OR(G36="",H36=""),"",MAX(0,ROUND((H36-G36)*24,1)))</f>
        <v/>
      </c>
      <c r="AD36" s="8" t="str">
        <f aca="false">IF(AC36="","",IF(AC36=0,1,0))</f>
        <v/>
      </c>
      <c r="AE36" s="8" t="str">
        <f aca="false">IF(OR(O36="",P36=""),"",P36-O36)</f>
        <v/>
      </c>
      <c r="AF36" s="8" t="str">
        <f aca="false">IF(A36="","",IF(UPPER(M36)="Y",1,0))</f>
        <v/>
      </c>
      <c r="AG36" s="8" t="str">
        <f aca="false">IF(A36="","",IF(N(R36)&gt;0,1,0))</f>
        <v/>
      </c>
      <c r="AH36" s="9" t="str">
        <f aca="false">IF(I36="","",N(T36)+N(U36)+N(V36)+N(W36))</f>
        <v/>
      </c>
      <c r="AI36" s="9" t="str">
        <f aca="false">IF(I36="","",I36-N(R36))</f>
        <v/>
      </c>
      <c r="AJ36" s="9" t="str">
        <f aca="false">IF(I36="","",AI36-AH36)</f>
        <v/>
      </c>
      <c r="AK36" s="10" t="str">
        <f aca="false">IF(I36="","",IF(I36=0,"",AJ36/I36))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7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8" t="str">
        <f aca="false">IF(OR(F37="",H37=""),"",ROUND((H37-F37)*24,1))</f>
        <v/>
      </c>
      <c r="AC37" s="8" t="str">
        <f aca="false">IF(OR(G37="",H37=""),"",MAX(0,ROUND((H37-G37)*24,1)))</f>
        <v/>
      </c>
      <c r="AD37" s="8" t="str">
        <f aca="false">IF(AC37="","",IF(AC37=0,1,0))</f>
        <v/>
      </c>
      <c r="AE37" s="8" t="str">
        <f aca="false">IF(OR(O37="",P37=""),"",P37-O37)</f>
        <v/>
      </c>
      <c r="AF37" s="8" t="str">
        <f aca="false">IF(A37="","",IF(UPPER(M37)="Y",1,0))</f>
        <v/>
      </c>
      <c r="AG37" s="8" t="str">
        <f aca="false">IF(A37="","",IF(N(R37)&gt;0,1,0))</f>
        <v/>
      </c>
      <c r="AH37" s="9" t="str">
        <f aca="false">IF(I37="","",N(T37)+N(U37)+N(V37)+N(W37))</f>
        <v/>
      </c>
      <c r="AI37" s="9" t="str">
        <f aca="false">IF(I37="","",I37-N(R37))</f>
        <v/>
      </c>
      <c r="AJ37" s="9" t="str">
        <f aca="false">IF(I37="","",AI37-AH37)</f>
        <v/>
      </c>
      <c r="AK37" s="10" t="str">
        <f aca="false">IF(I37="","",IF(I37=0,"",AJ37/I37))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7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8" t="str">
        <f aca="false">IF(OR(F38="",H38=""),"",ROUND((H38-F38)*24,1))</f>
        <v/>
      </c>
      <c r="AC38" s="8" t="str">
        <f aca="false">IF(OR(G38="",H38=""),"",MAX(0,ROUND((H38-G38)*24,1)))</f>
        <v/>
      </c>
      <c r="AD38" s="8" t="str">
        <f aca="false">IF(AC38="","",IF(AC38=0,1,0))</f>
        <v/>
      </c>
      <c r="AE38" s="8" t="str">
        <f aca="false">IF(OR(O38="",P38=""),"",P38-O38)</f>
        <v/>
      </c>
      <c r="AF38" s="8" t="str">
        <f aca="false">IF(A38="","",IF(UPPER(M38)="Y",1,0))</f>
        <v/>
      </c>
      <c r="AG38" s="8" t="str">
        <f aca="false">IF(A38="","",IF(N(R38)&gt;0,1,0))</f>
        <v/>
      </c>
      <c r="AH38" s="9" t="str">
        <f aca="false">IF(I38="","",N(T38)+N(U38)+N(V38)+N(W38))</f>
        <v/>
      </c>
      <c r="AI38" s="9" t="str">
        <f aca="false">IF(I38="","",I38-N(R38))</f>
        <v/>
      </c>
      <c r="AJ38" s="9" t="str">
        <f aca="false">IF(I38="","",AI38-AH38)</f>
        <v/>
      </c>
      <c r="AK38" s="10" t="str">
        <f aca="false">IF(I38="","",IF(I38=0,"",AJ38/I38))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7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8" t="str">
        <f aca="false">IF(OR(F39="",H39=""),"",ROUND((H39-F39)*24,1))</f>
        <v/>
      </c>
      <c r="AC39" s="8" t="str">
        <f aca="false">IF(OR(G39="",H39=""),"",MAX(0,ROUND((H39-G39)*24,1)))</f>
        <v/>
      </c>
      <c r="AD39" s="8" t="str">
        <f aca="false">IF(AC39="","",IF(AC39=0,1,0))</f>
        <v/>
      </c>
      <c r="AE39" s="8" t="str">
        <f aca="false">IF(OR(O39="",P39=""),"",P39-O39)</f>
        <v/>
      </c>
      <c r="AF39" s="8" t="str">
        <f aca="false">IF(A39="","",IF(UPPER(M39)="Y",1,0))</f>
        <v/>
      </c>
      <c r="AG39" s="8" t="str">
        <f aca="false">IF(A39="","",IF(N(R39)&gt;0,1,0))</f>
        <v/>
      </c>
      <c r="AH39" s="9" t="str">
        <f aca="false">IF(I39="","",N(T39)+N(U39)+N(V39)+N(W39))</f>
        <v/>
      </c>
      <c r="AI39" s="9" t="str">
        <f aca="false">IF(I39="","",I39-N(R39))</f>
        <v/>
      </c>
      <c r="AJ39" s="9" t="str">
        <f aca="false">IF(I39="","",AI39-AH39)</f>
        <v/>
      </c>
      <c r="AK39" s="10" t="str">
        <f aca="false">IF(I39="","",IF(I39=0,"",AJ39/I39))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7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8" t="str">
        <f aca="false">IF(OR(F40="",H40=""),"",ROUND((H40-F40)*24,1))</f>
        <v/>
      </c>
      <c r="AC40" s="8" t="str">
        <f aca="false">IF(OR(G40="",H40=""),"",MAX(0,ROUND((H40-G40)*24,1)))</f>
        <v/>
      </c>
      <c r="AD40" s="8" t="str">
        <f aca="false">IF(AC40="","",IF(AC40=0,1,0))</f>
        <v/>
      </c>
      <c r="AE40" s="8" t="str">
        <f aca="false">IF(OR(O40="",P40=""),"",P40-O40)</f>
        <v/>
      </c>
      <c r="AF40" s="8" t="str">
        <f aca="false">IF(A40="","",IF(UPPER(M40)="Y",1,0))</f>
        <v/>
      </c>
      <c r="AG40" s="8" t="str">
        <f aca="false">IF(A40="","",IF(N(R40)&gt;0,1,0))</f>
        <v/>
      </c>
      <c r="AH40" s="9" t="str">
        <f aca="false">IF(I40="","",N(T40)+N(U40)+N(V40)+N(W40))</f>
        <v/>
      </c>
      <c r="AI40" s="9" t="str">
        <f aca="false">IF(I40="","",I40-N(R40))</f>
        <v/>
      </c>
      <c r="AJ40" s="9" t="str">
        <f aca="false">IF(I40="","",AI40-AH40)</f>
        <v/>
      </c>
      <c r="AK40" s="10" t="str">
        <f aca="false">IF(I40="","",IF(I40=0,"",AJ40/I40))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7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8" t="str">
        <f aca="false">IF(OR(F41="",H41=""),"",ROUND((H41-F41)*24,1))</f>
        <v/>
      </c>
      <c r="AC41" s="8" t="str">
        <f aca="false">IF(OR(G41="",H41=""),"",MAX(0,ROUND((H41-G41)*24,1)))</f>
        <v/>
      </c>
      <c r="AD41" s="8" t="str">
        <f aca="false">IF(AC41="","",IF(AC41=0,1,0))</f>
        <v/>
      </c>
      <c r="AE41" s="8" t="str">
        <f aca="false">IF(OR(O41="",P41=""),"",P41-O41)</f>
        <v/>
      </c>
      <c r="AF41" s="8" t="str">
        <f aca="false">IF(A41="","",IF(UPPER(M41)="Y",1,0))</f>
        <v/>
      </c>
      <c r="AG41" s="8" t="str">
        <f aca="false">IF(A41="","",IF(N(R41)&gt;0,1,0))</f>
        <v/>
      </c>
      <c r="AH41" s="9" t="str">
        <f aca="false">IF(I41="","",N(T41)+N(U41)+N(V41)+N(W41))</f>
        <v/>
      </c>
      <c r="AI41" s="9" t="str">
        <f aca="false">IF(I41="","",I41-N(R41))</f>
        <v/>
      </c>
      <c r="AJ41" s="9" t="str">
        <f aca="false">IF(I41="","",AI41-AH41)</f>
        <v/>
      </c>
      <c r="AK41" s="10" t="str">
        <f aca="false">IF(I41="","",IF(I41=0,"",AJ41/I41))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7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8" t="str">
        <f aca="false">IF(OR(F42="",H42=""),"",ROUND((H42-F42)*24,1))</f>
        <v/>
      </c>
      <c r="AC42" s="8" t="str">
        <f aca="false">IF(OR(G42="",H42=""),"",MAX(0,ROUND((H42-G42)*24,1)))</f>
        <v/>
      </c>
      <c r="AD42" s="8" t="str">
        <f aca="false">IF(AC42="","",IF(AC42=0,1,0))</f>
        <v/>
      </c>
      <c r="AE42" s="8" t="str">
        <f aca="false">IF(OR(O42="",P42=""),"",P42-O42)</f>
        <v/>
      </c>
      <c r="AF42" s="8" t="str">
        <f aca="false">IF(A42="","",IF(UPPER(M42)="Y",1,0))</f>
        <v/>
      </c>
      <c r="AG42" s="8" t="str">
        <f aca="false">IF(A42="","",IF(N(R42)&gt;0,1,0))</f>
        <v/>
      </c>
      <c r="AH42" s="9" t="str">
        <f aca="false">IF(I42="","",N(T42)+N(U42)+N(V42)+N(W42))</f>
        <v/>
      </c>
      <c r="AI42" s="9" t="str">
        <f aca="false">IF(I42="","",I42-N(R42))</f>
        <v/>
      </c>
      <c r="AJ42" s="9" t="str">
        <f aca="false">IF(I42="","",AI42-AH42)</f>
        <v/>
      </c>
      <c r="AK42" s="10" t="str">
        <f aca="false">IF(I42="","",IF(I42=0,"",AJ42/I42))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8" t="str">
        <f aca="false">IF(OR(F43="",H43=""),"",ROUND((H43-F43)*24,1))</f>
        <v/>
      </c>
      <c r="AC43" s="8" t="str">
        <f aca="false">IF(OR(G43="",H43=""),"",MAX(0,ROUND((H43-G43)*24,1)))</f>
        <v/>
      </c>
      <c r="AD43" s="8" t="str">
        <f aca="false">IF(AC43="","",IF(AC43=0,1,0))</f>
        <v/>
      </c>
      <c r="AE43" s="8" t="str">
        <f aca="false">IF(OR(O43="",P43=""),"",P43-O43)</f>
        <v/>
      </c>
      <c r="AF43" s="8" t="str">
        <f aca="false">IF(A43="","",IF(UPPER(M43)="Y",1,0))</f>
        <v/>
      </c>
      <c r="AG43" s="8" t="str">
        <f aca="false">IF(A43="","",IF(N(R43)&gt;0,1,0))</f>
        <v/>
      </c>
      <c r="AH43" s="9" t="str">
        <f aca="false">IF(I43="","",N(T43)+N(U43)+N(V43)+N(W43))</f>
        <v/>
      </c>
      <c r="AI43" s="9" t="str">
        <f aca="false">IF(I43="","",I43-N(R43))</f>
        <v/>
      </c>
      <c r="AJ43" s="9" t="str">
        <f aca="false">IF(I43="","",AI43-AH43)</f>
        <v/>
      </c>
      <c r="AK43" s="10" t="str">
        <f aca="false">IF(I43="","",IF(I43=0,"",AJ43/I43))</f>
        <v/>
      </c>
    </row>
  </sheetData>
  <dataValidations count="3">
    <dataValidation allowBlank="true" errorStyle="stop" operator="between" showDropDown="false" showErrorMessage="false" showInputMessage="false" sqref="Q4:Q43" type="decimal">
      <formula1>1</formula1>
      <formula2>5</formula2>
    </dataValidation>
    <dataValidation allowBlank="true" errorStyle="stop" operator="between" showDropDown="false" showErrorMessage="false" showInputMessage="false" sqref="C4:C43 M4:M43 Y4:Z43" type="list">
      <formula1>"Y,N"</formula1>
      <formula2>0</formula2>
    </dataValidation>
    <dataValidation allowBlank="true" errorStyle="stop" operator="between" showDropDown="false" showErrorMessage="false" showInputMessage="false" sqref="B4:B43" type="list">
      <formula1>"Polish,Rewrite 7d,Rewrite 48h,Rewrite 24h"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3" t="s">
        <v>49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</row>
    <row r="5" customFormat="false" ht="15" hidden="false" customHeight="false" outlineLevel="0" collapsed="false">
      <c r="A5" s="11" t="s">
        <v>56</v>
      </c>
      <c r="B5" s="12" t="n">
        <f aca="false">COUNT('Example (synthetic)'!$I$4:$I$43)</f>
        <v>3</v>
      </c>
      <c r="C5" s="13" t="n">
        <v>20</v>
      </c>
      <c r="D5" s="11" t="s">
        <v>57</v>
      </c>
      <c r="E5" s="11" t="str">
        <f aca="false">IF(B5="","",IF(B5&gt;=C5,"PASS","FAIL"))</f>
        <v>FAIL</v>
      </c>
      <c r="F5" s="11" t="s">
        <v>58</v>
      </c>
    </row>
    <row r="6" customFormat="false" ht="15" hidden="false" customHeight="false" outlineLevel="0" collapsed="false">
      <c r="A6" s="11" t="s">
        <v>59</v>
      </c>
      <c r="B6" s="14" t="n">
        <f aca="false">IF(COUNT('Example (synthetic)'!$AD$4:$AD$43)=0,"",SUM('Example (synthetic)'!$AD$4:$AD$43)/COUNT('Example (synthetic)'!$AD$4:$AD$43))</f>
        <v>0.666666666666667</v>
      </c>
      <c r="C6" s="15" t="n">
        <v>0.95</v>
      </c>
      <c r="D6" s="11" t="s">
        <v>57</v>
      </c>
      <c r="E6" s="11" t="str">
        <f aca="false">IF(B6="","",IF(B6&gt;=C6,"PASS","FAIL"))</f>
        <v>FAIL</v>
      </c>
      <c r="F6" s="11" t="s">
        <v>60</v>
      </c>
    </row>
    <row r="7" customFormat="false" ht="15" hidden="false" customHeight="false" outlineLevel="0" collapsed="false">
      <c r="A7" s="11" t="s">
        <v>61</v>
      </c>
      <c r="B7" s="16" t="n">
        <f aca="false">IF(COUNT('Example (synthetic)'!$Q$4:$Q$43)=0,"",AVERAGE('Example (synthetic)'!$Q$4:$Q$43))</f>
        <v>4.66666666666667</v>
      </c>
      <c r="C7" s="17" t="n">
        <v>4.5</v>
      </c>
      <c r="D7" s="11" t="s">
        <v>57</v>
      </c>
      <c r="E7" s="11" t="str">
        <f aca="false">IF(B7="","",IF(B7&gt;=C7,"PASS","FAIL"))</f>
        <v>PASS</v>
      </c>
      <c r="F7" s="11" t="s">
        <v>62</v>
      </c>
    </row>
    <row r="8" customFormat="false" ht="15" hidden="false" customHeight="false" outlineLevel="0" collapsed="false">
      <c r="A8" s="11" t="s">
        <v>63</v>
      </c>
      <c r="B8" s="14" t="n">
        <f aca="false">IF(COUNT('Example (synthetic)'!$AF$4:$AF$43)=0,"",SUM('Example (synthetic)'!$AF$4:$AF$43)/COUNT('Example (synthetic)'!$AF$4:$AF$43))</f>
        <v>0.333333333333333</v>
      </c>
      <c r="C8" s="15" t="n">
        <v>0.2</v>
      </c>
      <c r="D8" s="11" t="s">
        <v>64</v>
      </c>
      <c r="E8" s="11" t="str">
        <f aca="false">IF(B8="","",IF(B8&lt;C8,"PASS","FAIL"))</f>
        <v>FAIL</v>
      </c>
      <c r="F8" s="11" t="s">
        <v>65</v>
      </c>
    </row>
    <row r="9" customFormat="false" ht="23.85" hidden="false" customHeight="false" outlineLevel="0" collapsed="false">
      <c r="A9" s="11" t="s">
        <v>66</v>
      </c>
      <c r="B9" s="14" t="n">
        <f aca="false">IF(COUNT('Example (synthetic)'!$AG$4:$AG$43)=0,"",SUM('Example (synthetic)'!$AG$4:$AG$43)/COUNT('Example (synthetic)'!$AG$4:$AG$43))</f>
        <v>0</v>
      </c>
      <c r="C9" s="15" t="n">
        <v>0.08</v>
      </c>
      <c r="D9" s="11" t="s">
        <v>64</v>
      </c>
      <c r="E9" s="11" t="str">
        <f aca="false">IF(B9="","",IF(B9&lt;C9,"PASS","FAIL"))</f>
        <v>PASS</v>
      </c>
      <c r="F9" s="11" t="s">
        <v>67</v>
      </c>
    </row>
    <row r="10" customFormat="false" ht="15" hidden="false" customHeight="false" outlineLevel="0" collapsed="false">
      <c r="A10" s="11" t="s">
        <v>68</v>
      </c>
      <c r="B10" s="18" t="n">
        <f aca="false">IF(COUNT('Example (synthetic)'!$AJ$4:$AJ$43)=0,"",AVERAGE('Example (synthetic)'!$AJ$4:$AJ$43))</f>
        <v>33.5333333333333</v>
      </c>
      <c r="C10" s="19" t="n">
        <v>25</v>
      </c>
      <c r="D10" s="11" t="s">
        <v>57</v>
      </c>
      <c r="E10" s="11" t="str">
        <f aca="false">IF(B10="","",IF(B10&gt;=C10,"PASS","FAIL"))</f>
        <v>PASS</v>
      </c>
      <c r="F10" s="11" t="s">
        <v>69</v>
      </c>
    </row>
    <row r="11" customFormat="false" ht="15" hidden="false" customHeight="false" outlineLevel="0" collapsed="false">
      <c r="A11" s="11" t="s">
        <v>70</v>
      </c>
      <c r="B11" s="14" t="n">
        <f aca="false">IF(SUM('Example (synthetic)'!$I$4:$I$43)=0,"",SUM('Example (synthetic)'!$AJ$4:$AJ$43)/SUM('Example (synthetic)'!$I$4:$I$43))</f>
        <v>0.339864864864865</v>
      </c>
      <c r="C11" s="15" t="n">
        <v>0.25</v>
      </c>
      <c r="D11" s="11" t="s">
        <v>57</v>
      </c>
      <c r="E11" s="11" t="str">
        <f aca="false">IF(B11="","",IF(B11&gt;=C11,"PASS","FAIL"))</f>
        <v>PASS</v>
      </c>
      <c r="F11" s="11" t="s">
        <v>71</v>
      </c>
    </row>
    <row r="12" customFormat="false" ht="15" hidden="false" customHeight="false" outlineLevel="0" collapsed="false">
      <c r="A12" s="11" t="s">
        <v>72</v>
      </c>
      <c r="B12" s="16" t="n">
        <f aca="false">IF(COUNT('Example (synthetic)'!$J$4:$J$43)=0,"",AVERAGE('Example (synthetic)'!$J$4:$J$43))</f>
        <v>61.6666666666667</v>
      </c>
      <c r="C12" s="17" t="n">
        <v>75</v>
      </c>
      <c r="D12" s="11" t="s">
        <v>73</v>
      </c>
      <c r="E12" s="11" t="str">
        <f aca="false">IF(B12="","",IF(B12&lt;=C12,"PASS","FAIL"))</f>
        <v>PASS</v>
      </c>
      <c r="F12" s="11" t="s">
        <v>74</v>
      </c>
    </row>
    <row r="13" customFormat="false" ht="15" hidden="false" customHeight="false" outlineLevel="0" collapsed="false">
      <c r="A13" s="11" t="s">
        <v>75</v>
      </c>
      <c r="B13" s="17"/>
      <c r="C13" s="17" t="n">
        <v>1</v>
      </c>
      <c r="D13" s="11" t="s">
        <v>57</v>
      </c>
      <c r="E13" s="11" t="str">
        <f aca="false">IF(B13="","",IF(B13&gt;=C13,"PASS","FAIL"))</f>
        <v/>
      </c>
      <c r="F13" s="11" t="s">
        <v>76</v>
      </c>
    </row>
    <row r="15" customFormat="false" ht="15" hidden="false" customHeight="false" outlineLevel="0" collapsed="false">
      <c r="A15" s="20" t="s">
        <v>77</v>
      </c>
      <c r="B15" s="21" t="str">
        <f aca="false">IF(COUNTIF(E5:E13,"")&gt;0,"Incomplete: "&amp;COUNTIF(E5:E13,"")&amp;" measure(s) missing",IF(COUNTIF(E5:E13,"FAIL")=0,"PASS","FAIL"))</f>
        <v>Incomplete: 1 measure(s) missing</v>
      </c>
    </row>
    <row r="17" customFormat="false" ht="15" hidden="false" customHeight="false" outlineLevel="0" collapsed="false">
      <c r="A17" s="20" t="s">
        <v>78</v>
      </c>
    </row>
    <row r="18" customFormat="false" ht="15" hidden="false" customHeight="false" outlineLevel="0" collapsed="false">
      <c r="A18" s="2" t="s">
        <v>79</v>
      </c>
      <c r="B18" s="2" t="str">
        <f aca="false">IF(B12="","",IF(B12&gt;120,"TRIGGERED","clear"))</f>
        <v>clear</v>
      </c>
    </row>
    <row r="19" customFormat="false" ht="15" hidden="false" customHeight="false" outlineLevel="0" collapsed="false">
      <c r="A19" s="2" t="s">
        <v>80</v>
      </c>
      <c r="B19" s="2" t="str">
        <f aca="false">IF(B9="","",IF(B9&gt;0.15,"TRIGGERED","clear"))</f>
        <v>clear</v>
      </c>
    </row>
    <row r="20" customFormat="false" ht="15" hidden="false" customHeight="false" outlineLevel="0" collapsed="false">
      <c r="A20" s="2" t="s">
        <v>81</v>
      </c>
      <c r="B20" s="2" t="str">
        <f aca="false">IF(B7="","",IF(B7&lt;4,"TRIGGERED","clear"))</f>
        <v>clear</v>
      </c>
    </row>
    <row r="21" customFormat="false" ht="15" hidden="false" customHeight="false" outlineLevel="0" collapsed="false">
      <c r="A21" s="2" t="s">
        <v>82</v>
      </c>
      <c r="B21" s="2" t="str">
        <f aca="false">IF(COUNTIF('Example (synthetic)'!$Y$4:$Y$43,"Y")&gt;0,"STOP","clear")</f>
        <v>clear</v>
      </c>
    </row>
    <row r="22" customFormat="false" ht="15" hidden="false" customHeight="false" outlineLevel="0" collapsed="false">
      <c r="A22" s="2" t="s">
        <v>83</v>
      </c>
      <c r="B22" s="2" t="str">
        <f aca="false">IF(COUNTIF('Example (synthetic)'!$Z$4:$Z$43,"Y")&gt;0,"STOP","clear")</f>
        <v>clear</v>
      </c>
    </row>
    <row r="24" customFormat="false" ht="15" hidden="false" customHeight="false" outlineLevel="0" collapsed="false">
      <c r="A24" s="20" t="s">
        <v>84</v>
      </c>
    </row>
    <row r="25" customFormat="false" ht="15" hidden="false" customHeight="false" outlineLevel="0" collapsed="false">
      <c r="A25" s="2" t="s">
        <v>85</v>
      </c>
      <c r="B25" s="22" t="n">
        <f aca="false">SUM('Example (synthetic)'!$X$4:$X$43)</f>
        <v>1</v>
      </c>
    </row>
    <row r="26" customFormat="false" ht="15" hidden="false" customHeight="false" outlineLevel="0" collapsed="false">
      <c r="A26" s="2" t="s">
        <v>86</v>
      </c>
      <c r="B26" s="22" t="n">
        <f aca="false">IF(COUNT('Example (synthetic)'!$K$4:$K$43)=0,"",AVERAGE('Example (synthetic)'!$K$4:$K$43))</f>
        <v>1</v>
      </c>
    </row>
    <row r="27" customFormat="false" ht="15" hidden="false" customHeight="false" outlineLevel="0" collapsed="false">
      <c r="A27" s="2" t="s">
        <v>87</v>
      </c>
      <c r="B27" s="22" t="n">
        <f aca="false">IF(COUNT('Example (synthetic)'!$AE$4:$AE$43)=0,"",AVERAGE('Example (synthetic)'!$AE$4:$AE$43))</f>
        <v>23.6666666666667</v>
      </c>
    </row>
    <row r="28" customFormat="false" ht="15" hidden="false" customHeight="false" outlineLevel="0" collapsed="false">
      <c r="A28" s="2" t="s">
        <v>88</v>
      </c>
      <c r="B28" s="22" t="n">
        <f aca="false">IF(COUNT('Example (synthetic)'!$AB$4:$AB$43)=0,"",AVERAGE('Example (synthetic)'!$AB$4:$AB$43))</f>
        <v>60.5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2026-10-26T21:48:02Z</dcterms:created>
  <dc:creator>openpyxl</dc:creator>
  <dc:description/>
  <dc:language>en-US</dc:language>
  <cp:lastModifiedBy/>
  <dcterms:modified xsi:type="dcterms:W3CDTF">2026-10-26T21:48:02Z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