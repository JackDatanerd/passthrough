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1 Phase 0 gate" sheetId="2" state="visible" r:id="rId4"/>
    <sheet name="2 Pilot bars" sheetId="3" state="visible" r:id="rId5"/>
    <sheet name="3 Section 27 decisions" sheetId="4" state="visible" r:id="rId6"/>
    <sheet name="4 Ready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<sst xmlns="http://schemas.openxmlformats.org/spreadsheetml/2006/main" count="234" uniqueCount="197">
  <si>
    <t xml:space="preserve">Phase 0 gate sheet (product spec sections 22.3, 23 and 27)</t>
  </si>
  <si>
    <t xml:space="preserve">WHAT IT IS: the decisions and bars you must set before the pilot. Yellow cells are blank on purpose: only you can choose them. The spec's default or recommendation is listed beside each so you can confirm or override.</t>
  </si>
  <si>
    <t xml:space="preserve">TABS: 1 Phase 0 gate (demand-test bars and the Phase 0 gate) | 2 Pilot bars (the Phase 1 gate and success measures) | 3 Section 27 decisions | 4 Ready checklist (section 22.3).</t>
  </si>
  <si>
    <t xml:space="preserve">Blue = you type. Black = formula. Yellow = you must choose. Orange = a conflict inside the spec that needs your ruling.</t>
  </si>
  <si>
    <t xml:space="preserve">No bar has been invented. Where the spec gives no number (for example click-through and waitlist bars, section 23: "bars set before Phase 0"), the cell is empty.</t>
  </si>
  <si>
    <t xml:space="preserve">The pilot recording sheet (03b) has its own Gate tab with the section 22 thresholds as inputs. When you decide a bar here, type the same value there.</t>
  </si>
  <si>
    <t xml:space="preserve">Phase 0A demand-test results come from docs/experts/phase-0a-results.sql (the Phase 0A chat). Enter its numbers on tab 1.</t>
  </si>
  <si>
    <t xml:space="preserve">Phase 0 gate: demand test and groundwork</t>
  </si>
  <si>
    <t xml:space="preserve">Gate (spec 22, Phase 0): click-through and waitlist rates above the bar; the price range narrows; at least three experts willing at the proposed pay; no legal blocker.</t>
  </si>
  <si>
    <t xml:space="preserve">Measure</t>
  </si>
  <si>
    <t xml:space="preserve">Bar (you choose)</t>
  </si>
  <si>
    <t xml:space="preserve">Spec guidance</t>
  </si>
  <si>
    <t xml:space="preserve">Observed (type in)</t>
  </si>
  <si>
    <t xml:space="preserve">Pass?</t>
  </si>
  <si>
    <t xml:space="preserve">Button click-through rate (clicks / views)</t>
  </si>
  <si>
    <t xml:space="preserve">Spec 23: "Bars set before Phase 0". No number given.</t>
  </si>
  <si>
    <t xml:space="preserve">Waitlist join rate (joins / clicks)</t>
  </si>
  <si>
    <t xml:space="preserve">Spec 22: "Click-through and waitlist rates above the bar". No number given.</t>
  </si>
  <si>
    <t xml:space="preserve">Paid conversion (only if a deposit was tested)</t>
  </si>
  <si>
    <t xml:space="preserve">Spec 23: "Bars set before Phase 0". The built Phase 0A has no payment.</t>
  </si>
  <si>
    <t xml:space="preserve">Experts willing at the proposed pay (count)</t>
  </si>
  <si>
    <t xml:space="preserve">Spec 22: at least three. Default bar: 3.</t>
  </si>
  <si>
    <t xml:space="preserve">Price range narrows? (Y/N)</t>
  </si>
  <si>
    <t xml:space="preserve">Spec 22: the tested price variants (low, base, high) should converge on a range.</t>
  </si>
  <si>
    <t xml:space="preserve">No legal blocker? (Y/N)</t>
  </si>
  <si>
    <t xml:space="preserve">Needs counsel on the drafts 04, 05a, 05b. Blank until counsel replies.</t>
  </si>
  <si>
    <t xml:space="preserve">PHASE 0 GATE RESULT</t>
  </si>
  <si>
    <t xml:space="preserve">KILL OR ADJUST (spec 22)</t>
  </si>
  <si>
    <t xml:space="preserve">If interest is negligible at every tested price: stop. If interest exists only at the cheapest price: offer only Human polish and reconsider.</t>
  </si>
  <si>
    <t xml:space="preserve">Pilot bars (set before the pilot starts)</t>
  </si>
  <si>
    <t xml:space="preserve">Section 22 (Phase 1) is the gate for the pilot. Section 23 is a list of targets for the pilot and early platform. Where they differ, the row is orange and you must choose.</t>
  </si>
  <si>
    <t xml:space="preserve">Spec 22 Phase 1 gate</t>
  </si>
  <si>
    <t xml:space="preserve">Spec 23 target</t>
  </si>
  <si>
    <t xml:space="preserve">Conflict?</t>
  </si>
  <si>
    <t xml:space="preserve">Your bar (you choose)</t>
  </si>
  <si>
    <t xml:space="preserve">Note</t>
  </si>
  <si>
    <t xml:space="preserve">Paid orders in the pilot</t>
  </si>
  <si>
    <t xml:space="preserve">20 or more</t>
  </si>
  <si>
    <t xml:space="preserve">n/a (pilot cap 20 to 30, F.3)</t>
  </si>
  <si>
    <t xml:space="preserve">On-time delivery</t>
  </si>
  <si>
    <t xml:space="preserve">95% or better</t>
  </si>
  <si>
    <t xml:space="preserve">Average client rating</t>
  </si>
  <si>
    <t xml:space="preserve">4.5 or better</t>
  </si>
  <si>
    <t xml:space="preserve">Revision rate</t>
  </si>
  <si>
    <t xml:space="preserve">Under 20%</t>
  </si>
  <si>
    <t xml:space="preserve">Under 15% (quality-related)</t>
  </si>
  <si>
    <t xml:space="preserve">YES</t>
  </si>
  <si>
    <t xml:space="preserve">Also "quality related" in 23 vs plain "revisions" in 22: confirm which revisions count.</t>
  </si>
  <si>
    <t xml:space="preserve">Refund (and credit) rate</t>
  </si>
  <si>
    <t xml:space="preserve">Under 8%</t>
  </si>
  <si>
    <t xml:space="preserve">Spec 22 says "refunds"; 23 says "refund and credit". Confirm.</t>
  </si>
  <si>
    <t xml:space="preserve">Contribution per job</t>
  </si>
  <si>
    <t xml:space="preserve">At least $25 and 25%</t>
  </si>
  <si>
    <t xml:space="preserve">At least $30 and 25%</t>
  </si>
  <si>
    <t xml:space="preserve">The dollar figure differs: $25 vs $30.</t>
  </si>
  <si>
    <t xml:space="preserve">Active expert minutes per job</t>
  </si>
  <si>
    <t xml:space="preserve">At most 75 minutes</t>
  </si>
  <si>
    <t xml:space="preserve">At most 75 minutes (measured automatically)</t>
  </si>
  <si>
    <t xml:space="preserve">Experts willing to continue at the pay</t>
  </si>
  <si>
    <t xml:space="preserve">Yes (all pilot experts)</t>
  </si>
  <si>
    <t xml:space="preserve">n/a</t>
  </si>
  <si>
    <t xml:space="preserve">Average score lift</t>
  </si>
  <si>
    <t xml:space="preserve">At least +20 points</t>
  </si>
  <si>
    <t xml:space="preserve">Only in 23. Decide whether to track it in the pilot.</t>
  </si>
  <si>
    <t xml:space="preserve">Truth-check failures reaching clients</t>
  </si>
  <si>
    <t xml:space="preserve">n/a (F.3: stop at once)</t>
  </si>
  <si>
    <t xml:space="preserve">Zero</t>
  </si>
  <si>
    <t xml:space="preserve">Pilot rule: stop at once if an invented fact reaches a client.</t>
  </si>
  <si>
    <t xml:space="preserve">Stop: average expert minutes</t>
  </si>
  <si>
    <t xml:space="preserve">Over 120: raise price or move buyers to polish</t>
  </si>
  <si>
    <t xml:space="preserve">Kill or adjust, spec 22.</t>
  </si>
  <si>
    <t xml:space="preserve">Stop: refund rate</t>
  </si>
  <si>
    <t xml:space="preserve">Over 15%: stop and fix quality</t>
  </si>
  <si>
    <t xml:space="preserve">Stop: average rating</t>
  </si>
  <si>
    <t xml:space="preserve">Under 4.0: stop and fix quality</t>
  </si>
  <si>
    <t xml:space="preserve">Rows from section 23 that belong to later phases (median time to claim, bonus stage, late unclaim rate, 90-day retention, top-expert share, dispute time) are not pilot bars and are not listed here.</t>
  </si>
  <si>
    <t xml:space="preserve">Section 27: decisions still needed</t>
  </si>
  <si>
    <t xml:space="preserve">Decision</t>
  </si>
  <si>
    <t xml:space="preserve">Spec recommendation (default)</t>
  </si>
  <si>
    <t xml:space="preserve">Decide by</t>
  </si>
  <si>
    <t xml:space="preserve">Your decision</t>
  </si>
  <si>
    <t xml:space="preserve">Override (if you override)</t>
  </si>
  <si>
    <t xml:space="preserve">Final prices and expert pay</t>
  </si>
  <si>
    <t xml:space="preserve">Start from section 16; set after Phase 0 and the pilot's measured expert time.</t>
  </si>
  <si>
    <t xml:space="preserve">End of Phase 1</t>
  </si>
  <si>
    <t xml:space="preserve">Offer a Human polish tier</t>
  </si>
  <si>
    <t xml:space="preserve">Yes, as an entry rung, tested for cannibalisation.</t>
  </si>
  <si>
    <t xml:space="preserve">Phase 0</t>
  </si>
  <si>
    <t xml:space="preserve">Polish turnaround is not defined in the spec: needs your input.</t>
  </si>
  <si>
    <t xml:space="preserve">Cash fees for late unclaims</t>
  </si>
  <si>
    <t xml:space="preserve">Not by default; strikes only; fee schedule stays off pending legal advice.</t>
  </si>
  <si>
    <t xml:space="preserve">Before Phase 3</t>
  </si>
  <si>
    <t xml:space="preserve">Discounts, promos, welcome codes, referral and partner commission on human jobs</t>
  </si>
  <si>
    <t xml:space="preserve">None. Decided (16.7).</t>
  </si>
  <si>
    <t xml:space="preserve">Decided</t>
  </si>
  <si>
    <t xml:space="preserve">Already decided in the spec. Confirm only.</t>
  </si>
  <si>
    <t xml:space="preserve">Head-start windows at launch</t>
  </si>
  <si>
    <t xml:space="preserve">Off until each tier has enough experts; use the cascade times in section 10.</t>
  </si>
  <si>
    <t xml:space="preserve">Phase 3</t>
  </si>
  <si>
    <t xml:space="preserve">Retention period for resume data after acceptance</t>
  </si>
  <si>
    <t xml:space="preserve">A short fixed period such as 30 to 90 days, with earlier deletion on request; confirm with counsel.</t>
  </si>
  <si>
    <t xml:space="preserve">Phase 2</t>
  </si>
  <si>
    <t xml:space="preserve">Appendix E proposes 90 days. Needed earlier for the Privacy text (04, P5).</t>
  </si>
  <si>
    <t xml:space="preserve">Public "Human reviewed" badge</t>
  </si>
  <si>
    <t xml:space="preserve">Optional for clients, off by default, only after the pilot.</t>
  </si>
  <si>
    <t xml:space="preserve">After Phase 4</t>
  </si>
  <si>
    <t xml:space="preserve">Acceptance window and hold</t>
  </si>
  <si>
    <t xml:space="preserve">72 hours acceptance plus a 3-day hold.</t>
  </si>
  <si>
    <t xml:space="preserve">Pilot: decide whether the hold applies (runbook step 9).</t>
  </si>
  <si>
    <t xml:space="preserve">Refund grace and credit size</t>
  </si>
  <si>
    <t xml:space="preserve">Rush-premium credit automatically; full refund beyond 48 hours late; unclaimed ends in refund plus credit.</t>
  </si>
  <si>
    <t xml:space="preserve">Used in the checkout wording (06) and addendum (05a).</t>
  </si>
  <si>
    <t xml:space="preserve">Payout countries at launch</t>
  </si>
  <si>
    <t xml:space="preserve">Only those with a verified payout route.</t>
  </si>
  <si>
    <t xml:space="preserve">Phase 5</t>
  </si>
  <si>
    <t xml:space="preserve">See 08 (research only).</t>
  </si>
  <si>
    <t xml:space="preserve">Expert AI use</t>
  </si>
  <si>
    <t xml:space="preserve">The built-in assistant only (7.5); no outside tools.</t>
  </si>
  <si>
    <t xml:space="preserve">The assistant does not exist in the pilot. Decide the pilot rule (no AI tools at all?).</t>
  </si>
  <si>
    <t xml:space="preserve">Upgrade credit for recent Fix buyers</t>
  </si>
  <si>
    <t xml:space="preserve">No in version 1. Revisit with pilot data as a capped exception.</t>
  </si>
  <si>
    <t xml:space="preserve">After Phase 1</t>
  </si>
  <si>
    <t xml:space="preserve">Phase 1 scope</t>
  </si>
  <si>
    <t xml:space="preserve">Real pilot tables and the structured document with locked fields if the editor spike passes; otherwise redacted manual copies.</t>
  </si>
  <si>
    <t xml:space="preserve">Before Phase 1</t>
  </si>
  <si>
    <t xml:space="preserve">The runbook (03) assumes manual redaction.</t>
  </si>
  <si>
    <t xml:space="preserve">Who may buy</t>
  </si>
  <si>
    <t xml:space="preserve">18 and over, by tick box.</t>
  </si>
  <si>
    <t xml:space="preserve">Existing Terms say 16. See 04 (T2).</t>
  </si>
  <si>
    <t xml:space="preserve">Learning from edits</t>
  </si>
  <si>
    <t xml:space="preserve">Opt-in checkbox, unticked, internal use only.</t>
  </si>
  <si>
    <t xml:space="preserve">Checkout wording string 4.</t>
  </si>
  <si>
    <t xml:space="preserve">Markets at launch</t>
  </si>
  <si>
    <t xml:space="preserve">English-language resumes, US-style standards first.</t>
  </si>
  <si>
    <t xml:space="preserve">Style guide regional notes need expert confirmation.</t>
  </si>
  <si>
    <t xml:space="preserve">Grader eligibility thresholds</t>
  </si>
  <si>
    <t xml:space="preserve">Senior or above, 30 jobs, grade 90, audit 90, no strikes in 90 days.</t>
  </si>
  <si>
    <t xml:space="preserve">Phase 4</t>
  </si>
  <si>
    <t xml:space="preserve">Grader pay per review</t>
  </si>
  <si>
    <t xml:space="preserve">Set after the pilot measures review minutes.</t>
  </si>
  <si>
    <t xml:space="preserve">Supporting-material limits</t>
  </si>
  <si>
    <t xml:space="preserve">Three files, 5 MB each, text-extractable only; text and links otherwise.</t>
  </si>
  <si>
    <t xml:space="preserve">Phase 1</t>
  </si>
  <si>
    <t xml:space="preserve">Separate expert admin realm</t>
  </si>
  <si>
    <t xml:space="preserve">Decided: yes. Expert staff have no main-admin rights; refunds go through a bridge.</t>
  </si>
  <si>
    <t xml:space="preserve">Already decided. Confirm only.</t>
  </si>
  <si>
    <t xml:space="preserve">Expert chosen by the client</t>
  </si>
  <si>
    <t xml:space="preserve">No in version 1; "request same expert" only.</t>
  </si>
  <si>
    <t xml:space="preserve">Currency</t>
  </si>
  <si>
    <t xml:space="preserve">US dollars at launch; regional prices after demand data.</t>
  </si>
  <si>
    <t xml:space="preserve">The app's PAYSTACK_CURRENCY is USD.</t>
  </si>
  <si>
    <t xml:space="preserve">Decisions confirmed</t>
  </si>
  <si>
    <t xml:space="preserve">Overridden (fill column E)</t>
  </si>
  <si>
    <t xml:space="preserve">Need more info</t>
  </si>
  <si>
    <t xml:space="preserve">Not yet decided</t>
  </si>
  <si>
    <t xml:space="preserve">Overrides missing a value</t>
  </si>
  <si>
    <t xml:space="preserve">Definition of ready (spec 22.3): Phase 0 and Phase 1</t>
  </si>
  <si>
    <t xml:space="preserve">Before</t>
  </si>
  <si>
    <t xml:space="preserve">Must be true</t>
  </si>
  <si>
    <t xml:space="preserve">Status (Done / Partly / Needs you)</t>
  </si>
  <si>
    <t xml:space="preserve">What Phase 0B produced</t>
  </si>
  <si>
    <t xml:space="preserve">Only you can do</t>
  </si>
  <si>
    <t xml:space="preserve">Price base approved</t>
  </si>
  <si>
    <t xml:space="preserve">Needs you</t>
  </si>
  <si>
    <t xml:space="preserve">Nothing: the spec says set after Phase 0 and the pilot.</t>
  </si>
  <si>
    <t xml:space="preserve">Approve the section 16 price base (tab 3 default).</t>
  </si>
  <si>
    <t xml:space="preserve">Competitor quotes collected</t>
  </si>
  <si>
    <t xml:space="preserve">Partly</t>
  </si>
  <si>
    <t xml:space="preserve">07-competitor-price-sheet.xlsx: public listings and a quote script (not quotes).</t>
  </si>
  <si>
    <t xml:space="preserve">Send the quote requests; record the replies.</t>
  </si>
  <si>
    <t xml:space="preserve">Payout provider shortlisted</t>
  </si>
  <si>
    <t xml:space="preserve">08-payout-provider-comparison.xlsx: research only; many cells to verify.</t>
  </si>
  <si>
    <t xml:space="preserve">Choose, apply, wait for approval (can take weeks).</t>
  </si>
  <si>
    <t xml:space="preserve">Waitlist copy and explainer written</t>
  </si>
  <si>
    <t xml:space="preserve">Done (drafted)</t>
  </si>
  <si>
    <t xml:space="preserve">10-explainer-faq-waitlist-copy.docx.</t>
  </si>
  <si>
    <t xml:space="preserve">Approve; counsel reviews privacy and refund sentences.</t>
  </si>
  <si>
    <t xml:space="preserve">Terms wording drafted with counsel</t>
  </si>
  <si>
    <t xml:space="preserve">04, 05a, 05b, 11c, 06: drafts with questions for counsel.</t>
  </si>
  <si>
    <t xml:space="preserve">Engage counsel; answer their questions.</t>
  </si>
  <si>
    <t xml:space="preserve">Two to four experts signed with a draft agreement</t>
  </si>
  <si>
    <t xml:space="preserve">11a recruiting kit, 11b tracker, 05b agreement draft, 02 test pack.</t>
  </si>
  <si>
    <t xml:space="preserve">Recruit, test, interview, sign after counsel approves.</t>
  </si>
  <si>
    <t xml:space="preserve">Style guide written</t>
  </si>
  <si>
    <t xml:space="preserve">Done (v1)</t>
  </si>
  <si>
    <t xml:space="preserve">01-style-guide-v1.docx. Regional notes need expert confirmation.</t>
  </si>
  <si>
    <t xml:space="preserve">Have each pilot expert confirm their region.</t>
  </si>
  <si>
    <t xml:space="preserve">Manual intake and delivery procedure written down</t>
  </si>
  <si>
    <t xml:space="preserve">03-pilot-runbook.docx. Open items inside it.</t>
  </si>
  <si>
    <t xml:space="preserve">Choose the shared edit tool; decide the file-building method.</t>
  </si>
  <si>
    <t xml:space="preserve">Client addendum live</t>
  </si>
  <si>
    <t xml:space="preserve">05a draft, 04 changes, 06 checkout strings.</t>
  </si>
  <si>
    <t xml:space="preserve">Counsel approves; the Terms and Privacy updates go live; version bump (needs code).</t>
  </si>
  <si>
    <t xml:space="preserve">A way to record minutes per job exists</t>
  </si>
  <si>
    <t xml:space="preserve">Done</t>
  </si>
  <si>
    <t xml:space="preserve">03b-pilot-recording-sheet.xlsx.</t>
  </si>
  <si>
    <t xml:space="preserve">Use it from the first job.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</si>
</sst>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3" t="s">
        <v>7</v>
      </c>
    </row>
    <row r="2" customFormat="false" ht="15" hidden="false" customHeight="false" outlineLevel="0" collapsed="false">
      <c r="A2" s="4" t="s">
        <v>8</v>
      </c>
    </row>
    <row r="4" customFormat="false" ht="15" hidden="false" customHeight="fals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</row>
    <row r="5" customFormat="false" ht="15" hidden="false" customHeight="false" outlineLevel="0" collapsed="false">
      <c r="A5" s="6" t="s">
        <v>14</v>
      </c>
      <c r="B5" s="7"/>
      <c r="C5" s="6" t="s">
        <v>15</v>
      </c>
      <c r="D5" s="8"/>
      <c r="E5" s="6" t="str">
        <f aca="false">IF(OR(B5="",D5=""),"",IF(D5&gt;=B5,"PASS","FAIL"))</f>
        <v/>
      </c>
    </row>
    <row r="6" customFormat="false" ht="15" hidden="false" customHeight="false" outlineLevel="0" collapsed="false">
      <c r="A6" s="6" t="s">
        <v>16</v>
      </c>
      <c r="B6" s="7"/>
      <c r="C6" s="6" t="s">
        <v>17</v>
      </c>
      <c r="D6" s="8"/>
      <c r="E6" s="6" t="str">
        <f aca="false">IF(OR(B6="",D6=""),"",IF(D6&gt;=B6,"PASS","FAIL"))</f>
        <v/>
      </c>
    </row>
    <row r="7" customFormat="false" ht="15" hidden="false" customHeight="false" outlineLevel="0" collapsed="false">
      <c r="A7" s="6" t="s">
        <v>18</v>
      </c>
      <c r="B7" s="7"/>
      <c r="C7" s="6" t="s">
        <v>19</v>
      </c>
      <c r="D7" s="8"/>
      <c r="E7" s="6" t="str">
        <f aca="false">IF(OR(B7="",D7=""),"",IF(D7&gt;=B7,"PASS","FAIL"))</f>
        <v/>
      </c>
    </row>
    <row r="8" customFormat="false" ht="15" hidden="false" customHeight="false" outlineLevel="0" collapsed="false">
      <c r="A8" s="6" t="s">
        <v>20</v>
      </c>
      <c r="B8" s="9" t="n">
        <v>3</v>
      </c>
      <c r="C8" s="6" t="s">
        <v>21</v>
      </c>
      <c r="D8" s="9"/>
      <c r="E8" s="6" t="str">
        <f aca="false">IF(OR(B8="",D8=""),"",IF(D8&gt;=B8,"PASS","FAIL"))</f>
        <v/>
      </c>
    </row>
    <row r="10" customFormat="false" ht="15" hidden="false" customHeight="false" outlineLevel="0" collapsed="false">
      <c r="A10" s="6" t="s">
        <v>22</v>
      </c>
      <c r="B10" s="6"/>
      <c r="C10" s="6" t="s">
        <v>23</v>
      </c>
      <c r="D10" s="9"/>
      <c r="E10" s="6" t="str">
        <f aca="false">IF(D10="","",IF(UPPER(D10)="Y","PASS","FAIL"))</f>
        <v/>
      </c>
    </row>
    <row r="11" customFormat="false" ht="15" hidden="false" customHeight="false" outlineLevel="0" collapsed="false">
      <c r="A11" s="6" t="s">
        <v>24</v>
      </c>
      <c r="B11" s="6"/>
      <c r="C11" s="6" t="s">
        <v>25</v>
      </c>
      <c r="D11" s="9"/>
      <c r="E11" s="6" t="str">
        <f aca="false">IF(D11="","",IF(UPPER(D11)="Y","PASS","FAIL"))</f>
        <v/>
      </c>
    </row>
    <row r="13" customFormat="false" ht="15" hidden="false" customHeight="false" outlineLevel="0" collapsed="false">
      <c r="A13" s="10" t="s">
        <v>26</v>
      </c>
      <c r="B13" s="6"/>
      <c r="C13" s="6"/>
      <c r="D13" s="6"/>
      <c r="E13" s="11" t="str">
        <f aca="false">IF(COUNTIF(E5:E11,"")&gt;0,"Incomplete",IF(COUNTIF(E5:E11,"FAIL")=0,"PASS","FAIL"))</f>
        <v>Incomplete</v>
      </c>
    </row>
    <row r="15" customFormat="false" ht="15" hidden="false" customHeight="false" outlineLevel="0" collapsed="false">
      <c r="A15" s="12" t="s">
        <v>27</v>
      </c>
    </row>
    <row r="16" customFormat="false" ht="15" hidden="false" customHeight="false" outlineLevel="0" collapsed="false">
      <c r="A16" s="1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4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" t="s">
        <v>29</v>
      </c>
    </row>
    <row r="2" customFormat="false" ht="15" hidden="false" customHeight="false" outlineLevel="0" collapsed="false">
      <c r="A2" s="4" t="s">
        <v>30</v>
      </c>
    </row>
    <row r="4" customFormat="false" ht="15" hidden="false" customHeight="false" outlineLevel="0" collapsed="false">
      <c r="A4" s="5" t="s">
        <v>9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</row>
    <row r="5" customFormat="false" ht="15" hidden="false" customHeight="false" outlineLevel="0" collapsed="false">
      <c r="A5" s="6" t="s">
        <v>36</v>
      </c>
      <c r="B5" s="6" t="s">
        <v>37</v>
      </c>
      <c r="C5" s="6" t="s">
        <v>38</v>
      </c>
      <c r="D5" s="6"/>
      <c r="E5" s="14"/>
      <c r="F5" s="6"/>
    </row>
    <row r="6" customFormat="false" ht="15" hidden="false" customHeight="false" outlineLevel="0" collapsed="false">
      <c r="A6" s="6" t="s">
        <v>39</v>
      </c>
      <c r="B6" s="6" t="s">
        <v>40</v>
      </c>
      <c r="C6" s="6" t="s">
        <v>40</v>
      </c>
      <c r="D6" s="6"/>
      <c r="E6" s="14"/>
      <c r="F6" s="6"/>
    </row>
    <row r="7" customFormat="false" ht="15" hidden="false" customHeight="false" outlineLevel="0" collapsed="false">
      <c r="A7" s="6" t="s">
        <v>41</v>
      </c>
      <c r="B7" s="6" t="s">
        <v>42</v>
      </c>
      <c r="C7" s="6" t="s">
        <v>42</v>
      </c>
      <c r="D7" s="6"/>
      <c r="E7" s="14"/>
      <c r="F7" s="6"/>
    </row>
    <row r="8" customFormat="false" ht="23.85" hidden="false" customHeight="false" outlineLevel="0" collapsed="false">
      <c r="A8" s="6" t="s">
        <v>43</v>
      </c>
      <c r="B8" s="6" t="s">
        <v>44</v>
      </c>
      <c r="C8" s="6" t="s">
        <v>45</v>
      </c>
      <c r="D8" s="15" t="s">
        <v>46</v>
      </c>
      <c r="E8" s="14"/>
      <c r="F8" s="6" t="s">
        <v>47</v>
      </c>
    </row>
    <row r="9" customFormat="false" ht="15" hidden="false" customHeight="false" outlineLevel="0" collapsed="false">
      <c r="A9" s="6" t="s">
        <v>48</v>
      </c>
      <c r="B9" s="6" t="s">
        <v>49</v>
      </c>
      <c r="C9" s="6" t="s">
        <v>49</v>
      </c>
      <c r="D9" s="6"/>
      <c r="E9" s="14"/>
      <c r="F9" s="6" t="s">
        <v>50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53</v>
      </c>
      <c r="D10" s="15" t="s">
        <v>46</v>
      </c>
      <c r="E10" s="14"/>
      <c r="F10" s="6" t="s">
        <v>54</v>
      </c>
    </row>
    <row r="11" customFormat="false" ht="15" hidden="false" customHeight="false" outlineLevel="0" collapsed="false">
      <c r="A11" s="6" t="s">
        <v>55</v>
      </c>
      <c r="B11" s="6" t="s">
        <v>56</v>
      </c>
      <c r="C11" s="6" t="s">
        <v>57</v>
      </c>
      <c r="D11" s="6"/>
      <c r="E11" s="14"/>
      <c r="F11" s="6"/>
    </row>
    <row r="12" customFormat="false" ht="15" hidden="false" customHeight="false" outlineLevel="0" collapsed="false">
      <c r="A12" s="6" t="s">
        <v>58</v>
      </c>
      <c r="B12" s="6" t="s">
        <v>59</v>
      </c>
      <c r="C12" s="6" t="s">
        <v>60</v>
      </c>
      <c r="D12" s="6"/>
      <c r="E12" s="14"/>
      <c r="F12" s="6"/>
    </row>
    <row r="13" customFormat="false" ht="15" hidden="false" customHeight="false" outlineLevel="0" collapsed="false">
      <c r="A13" s="6" t="s">
        <v>61</v>
      </c>
      <c r="B13" s="6" t="s">
        <v>60</v>
      </c>
      <c r="C13" s="6" t="s">
        <v>62</v>
      </c>
      <c r="D13" s="6"/>
      <c r="E13" s="14"/>
      <c r="F13" s="6" t="s">
        <v>63</v>
      </c>
    </row>
    <row r="14" customFormat="false" ht="15" hidden="false" customHeight="false" outlineLevel="0" collapsed="false">
      <c r="A14" s="6" t="s">
        <v>64</v>
      </c>
      <c r="B14" s="6" t="s">
        <v>65</v>
      </c>
      <c r="C14" s="6" t="s">
        <v>66</v>
      </c>
      <c r="D14" s="6"/>
      <c r="E14" s="14"/>
      <c r="F14" s="6" t="s">
        <v>67</v>
      </c>
    </row>
    <row r="15" customFormat="false" ht="15" hidden="false" customHeight="false" outlineLevel="0" collapsed="false">
      <c r="A15" s="6" t="s">
        <v>68</v>
      </c>
      <c r="B15" s="6" t="s">
        <v>69</v>
      </c>
      <c r="C15" s="6" t="s">
        <v>60</v>
      </c>
      <c r="D15" s="6"/>
      <c r="E15" s="14"/>
      <c r="F15" s="6" t="s">
        <v>70</v>
      </c>
    </row>
    <row r="16" customFormat="false" ht="15" hidden="false" customHeight="false" outlineLevel="0" collapsed="false">
      <c r="A16" s="6" t="s">
        <v>71</v>
      </c>
      <c r="B16" s="6" t="s">
        <v>72</v>
      </c>
      <c r="C16" s="6" t="s">
        <v>60</v>
      </c>
      <c r="D16" s="6"/>
      <c r="E16" s="14"/>
      <c r="F16" s="6" t="s">
        <v>70</v>
      </c>
    </row>
    <row r="17" customFormat="false" ht="15" hidden="false" customHeight="false" outlineLevel="0" collapsed="false">
      <c r="A17" s="6" t="s">
        <v>73</v>
      </c>
      <c r="B17" s="6" t="s">
        <v>74</v>
      </c>
      <c r="C17" s="6" t="s">
        <v>60</v>
      </c>
      <c r="D17" s="6"/>
      <c r="E17" s="14"/>
      <c r="F17" s="6" t="s">
        <v>70</v>
      </c>
    </row>
    <row r="19" customFormat="false" ht="15" hidden="false" customHeight="false" outlineLevel="0" collapsed="false">
      <c r="A19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3" t="s">
        <v>76</v>
      </c>
    </row>
    <row r="3" customFormat="false" ht="15" hidden="false" customHeight="false" outlineLevel="0" collapsed="false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35</v>
      </c>
    </row>
    <row r="4" customFormat="false" ht="15" hidden="false" customHeight="false" outlineLevel="0" collapsed="false">
      <c r="A4" s="6" t="s">
        <v>82</v>
      </c>
      <c r="B4" s="6" t="s">
        <v>83</v>
      </c>
      <c r="C4" s="6" t="s">
        <v>84</v>
      </c>
      <c r="D4" s="14"/>
      <c r="E4" s="9"/>
      <c r="F4" s="6"/>
    </row>
    <row r="5" customFormat="false" ht="15" hidden="false" customHeight="false" outlineLevel="0" collapsed="false">
      <c r="A5" s="6" t="s">
        <v>85</v>
      </c>
      <c r="B5" s="6" t="s">
        <v>86</v>
      </c>
      <c r="C5" s="6" t="s">
        <v>87</v>
      </c>
      <c r="D5" s="14"/>
      <c r="E5" s="9"/>
      <c r="F5" s="6" t="s">
        <v>88</v>
      </c>
    </row>
    <row r="6" customFormat="false" ht="15" hidden="false" customHeight="false" outlineLevel="0" collapsed="false">
      <c r="A6" s="6" t="s">
        <v>89</v>
      </c>
      <c r="B6" s="6" t="s">
        <v>90</v>
      </c>
      <c r="C6" s="6" t="s">
        <v>91</v>
      </c>
      <c r="D6" s="14"/>
      <c r="E6" s="9"/>
      <c r="F6" s="6"/>
    </row>
    <row r="7" customFormat="false" ht="23.85" hidden="false" customHeight="false" outlineLevel="0" collapsed="false">
      <c r="A7" s="6" t="s">
        <v>92</v>
      </c>
      <c r="B7" s="6" t="s">
        <v>93</v>
      </c>
      <c r="C7" s="6" t="s">
        <v>94</v>
      </c>
      <c r="D7" s="14"/>
      <c r="E7" s="9"/>
      <c r="F7" s="6" t="s">
        <v>95</v>
      </c>
    </row>
    <row r="8" customFormat="false" ht="15" hidden="false" customHeight="false" outlineLevel="0" collapsed="false">
      <c r="A8" s="6" t="s">
        <v>96</v>
      </c>
      <c r="B8" s="6" t="s">
        <v>97</v>
      </c>
      <c r="C8" s="6" t="s">
        <v>98</v>
      </c>
      <c r="D8" s="14"/>
      <c r="E8" s="9"/>
      <c r="F8" s="6"/>
    </row>
    <row r="9" customFormat="false" ht="23.85" hidden="false" customHeight="false" outlineLevel="0" collapsed="false">
      <c r="A9" s="6" t="s">
        <v>99</v>
      </c>
      <c r="B9" s="6" t="s">
        <v>100</v>
      </c>
      <c r="C9" s="6" t="s">
        <v>101</v>
      </c>
      <c r="D9" s="14"/>
      <c r="E9" s="9"/>
      <c r="F9" s="6" t="s">
        <v>102</v>
      </c>
    </row>
    <row r="10" customFormat="false" ht="15" hidden="false" customHeight="false" outlineLevel="0" collapsed="false">
      <c r="A10" s="6" t="s">
        <v>103</v>
      </c>
      <c r="B10" s="6" t="s">
        <v>104</v>
      </c>
      <c r="C10" s="6" t="s">
        <v>105</v>
      </c>
      <c r="D10" s="14"/>
      <c r="E10" s="9"/>
      <c r="F10" s="6"/>
    </row>
    <row r="11" customFormat="false" ht="15" hidden="false" customHeight="false" outlineLevel="0" collapsed="false">
      <c r="A11" s="6" t="s">
        <v>106</v>
      </c>
      <c r="B11" s="6" t="s">
        <v>107</v>
      </c>
      <c r="C11" s="6" t="s">
        <v>101</v>
      </c>
      <c r="D11" s="14"/>
      <c r="E11" s="9"/>
      <c r="F11" s="6" t="s">
        <v>108</v>
      </c>
    </row>
    <row r="12" customFormat="false" ht="23.85" hidden="false" customHeight="false" outlineLevel="0" collapsed="false">
      <c r="A12" s="6" t="s">
        <v>109</v>
      </c>
      <c r="B12" s="6" t="s">
        <v>110</v>
      </c>
      <c r="C12" s="6" t="s">
        <v>101</v>
      </c>
      <c r="D12" s="14"/>
      <c r="E12" s="9"/>
      <c r="F12" s="6" t="s">
        <v>111</v>
      </c>
    </row>
    <row r="13" customFormat="false" ht="15" hidden="false" customHeight="false" outlineLevel="0" collapsed="false">
      <c r="A13" s="6" t="s">
        <v>112</v>
      </c>
      <c r="B13" s="6" t="s">
        <v>113</v>
      </c>
      <c r="C13" s="6" t="s">
        <v>114</v>
      </c>
      <c r="D13" s="14"/>
      <c r="E13" s="9"/>
      <c r="F13" s="6" t="s">
        <v>115</v>
      </c>
    </row>
    <row r="14" customFormat="false" ht="23.85" hidden="false" customHeight="false" outlineLevel="0" collapsed="false">
      <c r="A14" s="6" t="s">
        <v>116</v>
      </c>
      <c r="B14" s="6" t="s">
        <v>117</v>
      </c>
      <c r="C14" s="6" t="s">
        <v>101</v>
      </c>
      <c r="D14" s="14"/>
      <c r="E14" s="9"/>
      <c r="F14" s="6" t="s">
        <v>118</v>
      </c>
    </row>
    <row r="15" customFormat="false" ht="15" hidden="false" customHeight="false" outlineLevel="0" collapsed="false">
      <c r="A15" s="6" t="s">
        <v>119</v>
      </c>
      <c r="B15" s="6" t="s">
        <v>120</v>
      </c>
      <c r="C15" s="6" t="s">
        <v>121</v>
      </c>
      <c r="D15" s="14"/>
      <c r="E15" s="9"/>
      <c r="F15" s="6"/>
    </row>
    <row r="16" customFormat="false" ht="23.85" hidden="false" customHeight="false" outlineLevel="0" collapsed="false">
      <c r="A16" s="6" t="s">
        <v>122</v>
      </c>
      <c r="B16" s="6" t="s">
        <v>123</v>
      </c>
      <c r="C16" s="6" t="s">
        <v>124</v>
      </c>
      <c r="D16" s="14"/>
      <c r="E16" s="9"/>
      <c r="F16" s="6" t="s">
        <v>125</v>
      </c>
    </row>
    <row r="17" customFormat="false" ht="15" hidden="false" customHeight="false" outlineLevel="0" collapsed="false">
      <c r="A17" s="6" t="s">
        <v>126</v>
      </c>
      <c r="B17" s="6" t="s">
        <v>127</v>
      </c>
      <c r="C17" s="6" t="s">
        <v>87</v>
      </c>
      <c r="D17" s="14"/>
      <c r="E17" s="9"/>
      <c r="F17" s="6" t="s">
        <v>128</v>
      </c>
    </row>
    <row r="18" customFormat="false" ht="15" hidden="false" customHeight="false" outlineLevel="0" collapsed="false">
      <c r="A18" s="6" t="s">
        <v>129</v>
      </c>
      <c r="B18" s="6" t="s">
        <v>130</v>
      </c>
      <c r="C18" s="6" t="s">
        <v>87</v>
      </c>
      <c r="D18" s="14"/>
      <c r="E18" s="9"/>
      <c r="F18" s="6" t="s">
        <v>131</v>
      </c>
    </row>
    <row r="19" customFormat="false" ht="15" hidden="false" customHeight="false" outlineLevel="0" collapsed="false">
      <c r="A19" s="6" t="s">
        <v>132</v>
      </c>
      <c r="B19" s="6" t="s">
        <v>133</v>
      </c>
      <c r="C19" s="6" t="s">
        <v>87</v>
      </c>
      <c r="D19" s="14"/>
      <c r="E19" s="9"/>
      <c r="F19" s="6" t="s">
        <v>134</v>
      </c>
    </row>
    <row r="20" customFormat="false" ht="15" hidden="false" customHeight="false" outlineLevel="0" collapsed="false">
      <c r="A20" s="6" t="s">
        <v>135</v>
      </c>
      <c r="B20" s="6" t="s">
        <v>136</v>
      </c>
      <c r="C20" s="6" t="s">
        <v>137</v>
      </c>
      <c r="D20" s="14"/>
      <c r="E20" s="9"/>
      <c r="F20" s="6"/>
    </row>
    <row r="21" customFormat="false" ht="15" hidden="false" customHeight="false" outlineLevel="0" collapsed="false">
      <c r="A21" s="6" t="s">
        <v>138</v>
      </c>
      <c r="B21" s="6" t="s">
        <v>139</v>
      </c>
      <c r="C21" s="6" t="s">
        <v>84</v>
      </c>
      <c r="D21" s="14"/>
      <c r="E21" s="9"/>
      <c r="F21" s="6"/>
    </row>
    <row r="22" customFormat="false" ht="15" hidden="false" customHeight="false" outlineLevel="0" collapsed="false">
      <c r="A22" s="6" t="s">
        <v>140</v>
      </c>
      <c r="B22" s="6" t="s">
        <v>141</v>
      </c>
      <c r="C22" s="6" t="s">
        <v>142</v>
      </c>
      <c r="D22" s="14"/>
      <c r="E22" s="9"/>
      <c r="F22" s="6"/>
    </row>
    <row r="23" customFormat="false" ht="23.85" hidden="false" customHeight="false" outlineLevel="0" collapsed="false">
      <c r="A23" s="6" t="s">
        <v>143</v>
      </c>
      <c r="B23" s="6" t="s">
        <v>144</v>
      </c>
      <c r="C23" s="6" t="s">
        <v>94</v>
      </c>
      <c r="D23" s="14"/>
      <c r="E23" s="9"/>
      <c r="F23" s="6" t="s">
        <v>145</v>
      </c>
    </row>
    <row r="24" customFormat="false" ht="15" hidden="false" customHeight="false" outlineLevel="0" collapsed="false">
      <c r="A24" s="6" t="s">
        <v>146</v>
      </c>
      <c r="B24" s="6" t="s">
        <v>147</v>
      </c>
      <c r="C24" s="6" t="s">
        <v>98</v>
      </c>
      <c r="D24" s="14"/>
      <c r="E24" s="9"/>
      <c r="F24" s="6"/>
    </row>
    <row r="25" customFormat="false" ht="15" hidden="false" customHeight="false" outlineLevel="0" collapsed="false">
      <c r="A25" s="6" t="s">
        <v>148</v>
      </c>
      <c r="B25" s="6" t="s">
        <v>149</v>
      </c>
      <c r="C25" s="6" t="s">
        <v>87</v>
      </c>
      <c r="D25" s="14"/>
      <c r="E25" s="9"/>
      <c r="F25" s="6" t="s">
        <v>150</v>
      </c>
    </row>
    <row r="27" customFormat="false" ht="15" hidden="false" customHeight="false" outlineLevel="0" collapsed="false">
      <c r="A27" s="12" t="s">
        <v>151</v>
      </c>
      <c r="B27" s="16" t="n">
        <f aca="false">COUNTIF(D4:D25,"Confirm default")</f>
        <v>0</v>
      </c>
    </row>
    <row r="28" customFormat="false" ht="15" hidden="false" customHeight="false" outlineLevel="0" collapsed="false">
      <c r="A28" s="12" t="s">
        <v>152</v>
      </c>
      <c r="B28" s="16" t="n">
        <f aca="false">COUNTIF(D4:D25,"Override")</f>
        <v>0</v>
      </c>
    </row>
    <row r="29" customFormat="false" ht="15" hidden="false" customHeight="false" outlineLevel="0" collapsed="false">
      <c r="A29" s="12" t="s">
        <v>153</v>
      </c>
      <c r="B29" s="16" t="n">
        <f aca="false">COUNTIF(D4:D25,"Need more info")</f>
        <v>0</v>
      </c>
    </row>
    <row r="30" customFormat="false" ht="15" hidden="false" customHeight="false" outlineLevel="0" collapsed="false">
      <c r="A30" s="12" t="s">
        <v>154</v>
      </c>
      <c r="B30" s="16" t="n">
        <f aca="false">COUNTBLANK(D4:D25)</f>
        <v>22</v>
      </c>
    </row>
    <row r="31" customFormat="false" ht="15" hidden="false" customHeight="false" outlineLevel="0" collapsed="false">
      <c r="A31" s="12" t="s">
        <v>155</v>
      </c>
      <c r="B31" s="16" t="n">
        <f aca="false">SUMPRODUCT((D4:D25="Override")*(E4:E25=""))</f>
        <v>0</v>
      </c>
    </row>
  </sheetData>
  <dataValidations count="1">
    <dataValidation allowBlank="true" errorStyle="stop" operator="between" showDropDown="false" showErrorMessage="false" showInputMessage="false" sqref="D4:D25" type="list">
      <formula1>"Confirm default,Override,Need more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5" min="4" style="0" width="60"/>
  </cols>
  <sheetData>
    <row r="1" customFormat="false" ht="17.35" hidden="false" customHeight="false" outlineLevel="0" collapsed="false">
      <c r="A1" s="3" t="s">
        <v>156</v>
      </c>
    </row>
    <row r="3" customFormat="false" ht="23.85" hidden="false" customHeight="false" outlineLevel="0" collapsed="false">
      <c r="A3" s="5" t="s">
        <v>157</v>
      </c>
      <c r="B3" s="5" t="s">
        <v>158</v>
      </c>
      <c r="C3" s="5" t="s">
        <v>159</v>
      </c>
      <c r="D3" s="5" t="s">
        <v>160</v>
      </c>
      <c r="E3" s="5" t="s">
        <v>161</v>
      </c>
    </row>
    <row r="4" customFormat="false" ht="15" hidden="false" customHeight="false" outlineLevel="0" collapsed="false">
      <c r="A4" s="6" t="s">
        <v>87</v>
      </c>
      <c r="B4" s="6" t="s">
        <v>162</v>
      </c>
      <c r="C4" s="14" t="s">
        <v>163</v>
      </c>
      <c r="D4" s="6" t="s">
        <v>164</v>
      </c>
      <c r="E4" s="6" t="s">
        <v>165</v>
      </c>
    </row>
    <row r="5" customFormat="false" ht="23.85" hidden="false" customHeight="false" outlineLevel="0" collapsed="false">
      <c r="A5" s="6" t="s">
        <v>87</v>
      </c>
      <c r="B5" s="6" t="s">
        <v>166</v>
      </c>
      <c r="C5" s="14" t="s">
        <v>167</v>
      </c>
      <c r="D5" s="6" t="s">
        <v>168</v>
      </c>
      <c r="E5" s="6" t="s">
        <v>169</v>
      </c>
    </row>
    <row r="6" customFormat="false" ht="15" hidden="false" customHeight="false" outlineLevel="0" collapsed="false">
      <c r="A6" s="6" t="s">
        <v>87</v>
      </c>
      <c r="B6" s="6" t="s">
        <v>170</v>
      </c>
      <c r="C6" s="14" t="s">
        <v>167</v>
      </c>
      <c r="D6" s="6" t="s">
        <v>171</v>
      </c>
      <c r="E6" s="6" t="s">
        <v>172</v>
      </c>
    </row>
    <row r="7" customFormat="false" ht="15" hidden="false" customHeight="false" outlineLevel="0" collapsed="false">
      <c r="A7" s="6" t="s">
        <v>87</v>
      </c>
      <c r="B7" s="6" t="s">
        <v>173</v>
      </c>
      <c r="C7" s="14" t="s">
        <v>174</v>
      </c>
      <c r="D7" s="6" t="s">
        <v>175</v>
      </c>
      <c r="E7" s="6" t="s">
        <v>176</v>
      </c>
    </row>
    <row r="8" customFormat="false" ht="15" hidden="false" customHeight="false" outlineLevel="0" collapsed="false">
      <c r="A8" s="6" t="s">
        <v>87</v>
      </c>
      <c r="B8" s="6" t="s">
        <v>177</v>
      </c>
      <c r="C8" s="14" t="s">
        <v>167</v>
      </c>
      <c r="D8" s="6" t="s">
        <v>178</v>
      </c>
      <c r="E8" s="6" t="s">
        <v>179</v>
      </c>
    </row>
    <row r="9" customFormat="false" ht="15" hidden="false" customHeight="false" outlineLevel="0" collapsed="false">
      <c r="A9" s="6" t="s">
        <v>142</v>
      </c>
      <c r="B9" s="6" t="s">
        <v>180</v>
      </c>
      <c r="C9" s="14" t="s">
        <v>163</v>
      </c>
      <c r="D9" s="6" t="s">
        <v>181</v>
      </c>
      <c r="E9" s="6" t="s">
        <v>182</v>
      </c>
    </row>
    <row r="10" customFormat="false" ht="15" hidden="false" customHeight="false" outlineLevel="0" collapsed="false">
      <c r="A10" s="6" t="s">
        <v>142</v>
      </c>
      <c r="B10" s="6" t="s">
        <v>183</v>
      </c>
      <c r="C10" s="14" t="s">
        <v>184</v>
      </c>
      <c r="D10" s="6" t="s">
        <v>185</v>
      </c>
      <c r="E10" s="6" t="s">
        <v>186</v>
      </c>
    </row>
    <row r="11" customFormat="false" ht="15" hidden="false" customHeight="false" outlineLevel="0" collapsed="false">
      <c r="A11" s="6" t="s">
        <v>142</v>
      </c>
      <c r="B11" s="6" t="s">
        <v>187</v>
      </c>
      <c r="C11" s="14" t="s">
        <v>174</v>
      </c>
      <c r="D11" s="6" t="s">
        <v>188</v>
      </c>
      <c r="E11" s="6" t="s">
        <v>189</v>
      </c>
    </row>
    <row r="12" customFormat="false" ht="23.85" hidden="false" customHeight="false" outlineLevel="0" collapsed="false">
      <c r="A12" s="6" t="s">
        <v>142</v>
      </c>
      <c r="B12" s="6" t="s">
        <v>190</v>
      </c>
      <c r="C12" s="14" t="s">
        <v>163</v>
      </c>
      <c r="D12" s="6" t="s">
        <v>191</v>
      </c>
      <c r="E12" s="6" t="s">
        <v>192</v>
      </c>
    </row>
    <row r="13" customFormat="false" ht="15" hidden="false" customHeight="false" outlineLevel="0" collapsed="false">
      <c r="A13" s="6" t="s">
        <v>142</v>
      </c>
      <c r="B13" s="6" t="s">
        <v>193</v>
      </c>
      <c r="C13" s="14" t="s">
        <v>194</v>
      </c>
      <c r="D13" s="6" t="s">
        <v>195</v>
      </c>
      <c r="E13" s="6" t="s">
        <v>196</v>
      </c>
    </row>
  </sheetData>
  <dataValidations count="1">
    <dataValidation allowBlank="true" errorStyle="stop" operator="between" showDropDown="false" showErrorMessage="false" showInputMessage="false" sqref="C4:C13" type="list">
      <formula1>"Done,Done (v1),Done (drafted),Partly,Needs you"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2026-10-27T04:57:26Z</dcterms:created>
  <dc:creator>openpyxl</dc:creator>
  <dc:description/>
  <dc:language>en-US</dc:language>
  <cp:lastModifiedBy/>
  <dcterms:modified xsi:type="dcterms:W3CDTF">2026-10-27T04:57:26Z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