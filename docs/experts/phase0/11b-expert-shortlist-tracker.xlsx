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sheetId="1" state="visible" r:id="rId3"/>
    <sheet name="Tracker" sheetId="2" state="visible" r:id="rId4"/>
    <sheet name="Summary" sheetId="3" state="visible" r:id="rId5"/>
    <sheet name="Example (synthetic)" sheetId="4" state="visible" r:id="rId6"/>
    <sheet name="Example 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<sst xmlns="http://schemas.openxmlformats.org/spreadsheetml/2006/main" count="133" uniqueCount="72">
  <si>
    <t xml:space="preserve">Expert shortlist tracker (spec section 13, steps 1 to 9)</t>
  </si>
  <si>
    <t xml:space="preserve">Use a Candidate ID, never a name, in any shared copy. Keep identity documents and payout account numbers OUT of this sheet.</t>
  </si>
  <si>
    <t xml:space="preserve">Blue = input. Black = formula. Green headers = formulas. Yellow = owner decides.</t>
  </si>
  <si>
    <t xml:space="preserve">Reviewer scores come from the rubric sheet (02b). Reviewers should agree within half a point on each dimension (spec 13.3 calibration).</t>
  </si>
  <si>
    <t xml:space="preserve">Pilot target (spec 22, Phase 0): shortlist three to five experts, including the two the founder knows and at least two the founder does not know. Check on the Summary tab.</t>
  </si>
  <si>
    <t xml:space="preserve">Ready for first job = application, sample test paid, two reviewer scores, interview done, identity verified, agreement signed, payout country checked, security and training done. The pass bar for the sample test is blank until the owner sets it (see the gate sheet).</t>
  </si>
  <si>
    <t xml:space="preserve">Expert shortlist tracker</t>
  </si>
  <si>
    <t xml:space="preserve">Candidate ID</t>
  </si>
  <si>
    <t xml:space="preserve">Known to founder? (Y/N)</t>
  </si>
  <si>
    <t xml:space="preserve">Source (referral, recruiter, other)</t>
  </si>
  <si>
    <t xml:space="preserve">Country (lives)</t>
  </si>
  <si>
    <t xml:space="preserve">Time zone</t>
  </si>
  <si>
    <t xml:space="preserve">Experience (years)</t>
  </si>
  <si>
    <t xml:space="preserve">Specialities (industries, seniority)</t>
  </si>
  <si>
    <t xml:space="preserve">Regions known</t>
  </si>
  <si>
    <t xml:space="preserve">Languages</t>
  </si>
  <si>
    <t xml:space="preserve">Weekly capacity (hours)</t>
  </si>
  <si>
    <t xml:space="preserve">Can take rush jobs? (Y/N)</t>
  </si>
  <si>
    <t xml:space="preserve">1 Application received (Y/N)</t>
  </si>
  <si>
    <t xml:space="preserve">Work samples received, details removed (Y/N)</t>
  </si>
  <si>
    <t xml:space="preserve">Reference checked (Y/N)</t>
  </si>
  <si>
    <t xml:space="preserve">2 Sample test paid (Y/N)</t>
  </si>
  <si>
    <t xml:space="preserve">3 Reviewer 1 audit score</t>
  </si>
  <si>
    <t xml:space="preserve">3 Reviewer 2 audit score</t>
  </si>
  <si>
    <t xml:space="preserve">4 Interview score (0-2 each, total)</t>
  </si>
  <si>
    <t xml:space="preserve">4 Interview done (Y/N)</t>
  </si>
  <si>
    <t xml:space="preserve">5 Identity verified (Y/N)</t>
  </si>
  <si>
    <t xml:space="preserve">6 Agreement signed (Y/N)</t>
  </si>
  <si>
    <t xml:space="preserve">6 Agreement version and date</t>
  </si>
  <si>
    <t xml:space="preserve">6 Payout method and country</t>
  </si>
  <si>
    <t xml:space="preserve">6 Payout country checked (Y/N)</t>
  </si>
  <si>
    <t xml:space="preserve">7 Security and training done (Y/N)</t>
  </si>
  <si>
    <t xml:space="preserve">Conflicts of interest noted (Y/N)</t>
  </si>
  <si>
    <t xml:space="preserve">8 Probation jobs completed (of 5)</t>
  </si>
  <si>
    <t xml:space="preserve">9 Graduated (Y/N)</t>
  </si>
  <si>
    <t xml:space="preserve">Backup expert? (Y/N)</t>
  </si>
  <si>
    <t xml:space="preserve">Notes</t>
  </si>
  <si>
    <t xml:space="preserve">Reviewer score gap</t>
  </si>
  <si>
    <t xml:space="preserve">Average audit score</t>
  </si>
  <si>
    <t xml:space="preserve">Stage reached</t>
  </si>
  <si>
    <t xml:space="preserve">Ready for first job? </t>
  </si>
  <si>
    <t xml:space="preserve">Summary</t>
  </si>
  <si>
    <t xml:space="preserve">Candidates tracked</t>
  </si>
  <si>
    <t xml:space="preserve">Known to founder</t>
  </si>
  <si>
    <t xml:space="preserve">Not known to founder</t>
  </si>
  <si>
    <t xml:space="preserve">Ready for first job</t>
  </si>
  <si>
    <t xml:space="preserve">On-call backups</t>
  </si>
  <si>
    <t xml:space="preserve">Pilot checks (spec 22, Phase 0 and Appendix F)</t>
  </si>
  <si>
    <t xml:space="preserve">Three to five experts shortlisted?</t>
  </si>
  <si>
    <t xml:space="preserve">At least two the founder does not know?</t>
  </si>
  <si>
    <t xml:space="preserve">Two to four experts ready by the pilot start?</t>
  </si>
  <si>
    <t xml:space="preserve">Two or three on-call backups?</t>
  </si>
  <si>
    <t xml:space="preserve">Expert shortlist tracker (EXAMPLE, synthetic)</t>
  </si>
  <si>
    <t xml:space="preserve">C-001</t>
  </si>
  <si>
    <t xml:space="preserve">Y</t>
  </si>
  <si>
    <t xml:space="preserve">Friend</t>
  </si>
  <si>
    <t xml:space="preserve">Kenya</t>
  </si>
  <si>
    <t xml:space="preserve">EAT</t>
  </si>
  <si>
    <t xml:space="preserve">Tech, mid to senior</t>
  </si>
  <si>
    <t xml:space="preserve">US, UK, Kenya</t>
  </si>
  <si>
    <t xml:space="preserve">English, Swahili</t>
  </si>
  <si>
    <t xml:space="preserve">draft v0, example</t>
  </si>
  <si>
    <t xml:space="preserve">example only</t>
  </si>
  <si>
    <t xml:space="preserve">N</t>
  </si>
  <si>
    <t xml:space="preserve">C-002</t>
  </si>
  <si>
    <t xml:space="preserve">Recruiter group</t>
  </si>
  <si>
    <t xml:space="preserve">UK</t>
  </si>
  <si>
    <t xml:space="preserve">GMT</t>
  </si>
  <si>
    <t xml:space="preserve">Finance, early to mid</t>
  </si>
  <si>
    <t xml:space="preserve">UK, EU</t>
  </si>
  <si>
    <t xml:space="preserve">English</t>
  </si>
  <si>
    <t xml:space="preserve">Interview not yet held</t>
  </si>
</sst>
</file>

<file path=xl/styles.xml><?xml version="1.0" encoding="utf-8"?>
<styleSheet xmlns="http://schemas.openxmlformats.org/spreadsheetml/2006/main">
  <numFmts count="3">
    <numFmt numFmtId="164" formatCode="General"/>
    <numFmt numFmtId="165" formatCode="0.0"/>
    <numFmt numFmtId="166"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sz val="10"/>
      <color rgb="FF0000FF"/>
      <name val="Arial"/>
      <family val="0"/>
      <charset val="1"/>
    </font>
  </fonts>
  <fills count="4">
    <fill>
      <patternFill patternType="none"/>
    </fill>
    <fill>
      <patternFill patternType="gray125"/>
    </fill>
    <fill>
      <patternFill patternType="solid">
        <fgColor rgb="FFD9E2F3"/>
        <bgColor rgb="FFE2EFDA"/>
      </patternFill>
    </fill>
    <fill>
      <patternFill patternType="solid">
        <fgColor rgb="FFE2EFDA"/>
        <bgColor rgb="FFD9E2F3"/>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23.85" hidden="false" customHeight="false" outlineLevel="0" collapsed="false">
      <c r="A7" s="2"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6" min="1" style="0" width="16"/>
    <col collapsed="false" customWidth="true" hidden="false" outlineLevel="0" max="7" min="7" style="0" width="28"/>
    <col collapsed="false" customWidth="true" hidden="false" outlineLevel="0" max="21" min="8" style="0" width="16"/>
    <col collapsed="false" customWidth="true" hidden="false" outlineLevel="0" max="23" min="22" style="0" width="28"/>
    <col collapsed="false" customWidth="true" hidden="false" outlineLevel="0" max="29" min="24" style="0" width="16"/>
    <col collapsed="false" customWidth="true" hidden="false" outlineLevel="0" max="30" min="30" style="0" width="28"/>
    <col collapsed="false" customWidth="true" hidden="false" outlineLevel="0" max="34" min="31" style="0" width="16"/>
  </cols>
  <sheetData>
    <row r="1" customFormat="false" ht="17.35" hidden="false" customHeight="false" outlineLevel="0" collapsed="false">
      <c r="A1" s="3" t="s">
        <v>6</v>
      </c>
    </row>
    <row r="3" customFormat="false" ht="60" hidden="false" customHeight="true" outlineLevel="0" collapsed="false">
      <c r="A3" s="4" t="s">
        <v>7</v>
      </c>
      <c r="B3" s="4" t="s">
        <v>8</v>
      </c>
      <c r="C3" s="4" t="s">
        <v>9</v>
      </c>
      <c r="D3" s="4" t="s">
        <v>10</v>
      </c>
      <c r="E3" s="4" t="s">
        <v>11</v>
      </c>
      <c r="F3" s="4" t="s">
        <v>12</v>
      </c>
      <c r="G3" s="4" t="s">
        <v>13</v>
      </c>
      <c r="H3" s="4" t="s">
        <v>14</v>
      </c>
      <c r="I3" s="4" t="s">
        <v>15</v>
      </c>
      <c r="J3" s="4" t="s">
        <v>16</v>
      </c>
      <c r="K3" s="4" t="s">
        <v>17</v>
      </c>
      <c r="L3" s="4" t="s">
        <v>18</v>
      </c>
      <c r="M3" s="4" t="s">
        <v>19</v>
      </c>
      <c r="N3" s="4" t="s">
        <v>20</v>
      </c>
      <c r="O3" s="4" t="s">
        <v>21</v>
      </c>
      <c r="P3" s="4" t="s">
        <v>22</v>
      </c>
      <c r="Q3" s="4" t="s">
        <v>23</v>
      </c>
      <c r="R3" s="4" t="s">
        <v>24</v>
      </c>
      <c r="S3" s="4" t="s">
        <v>25</v>
      </c>
      <c r="T3" s="4" t="s">
        <v>26</v>
      </c>
      <c r="U3" s="4" t="s">
        <v>27</v>
      </c>
      <c r="V3" s="4" t="s">
        <v>28</v>
      </c>
      <c r="W3" s="4" t="s">
        <v>29</v>
      </c>
      <c r="X3" s="4" t="s">
        <v>30</v>
      </c>
      <c r="Y3" s="4" t="s">
        <v>31</v>
      </c>
      <c r="Z3" s="4" t="s">
        <v>32</v>
      </c>
      <c r="AA3" s="4" t="s">
        <v>33</v>
      </c>
      <c r="AB3" s="4" t="s">
        <v>34</v>
      </c>
      <c r="AC3" s="4" t="s">
        <v>35</v>
      </c>
      <c r="AD3" s="4" t="s">
        <v>36</v>
      </c>
      <c r="AE3" s="5" t="s">
        <v>37</v>
      </c>
      <c r="AF3" s="5" t="s">
        <v>38</v>
      </c>
      <c r="AG3" s="5" t="s">
        <v>39</v>
      </c>
      <c r="AH3" s="5" t="s">
        <v>40</v>
      </c>
    </row>
    <row r="4" customFormat="false" ht="15" hidden="false" customHeight="false" outlineLevel="0" collapsed="false">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7" t="str">
        <f aca="false">IF(AND(ISNUMBER(P4),ISNUMBER(Q4)),ABS(P4-Q4),"")</f>
        <v/>
      </c>
      <c r="AF4" s="8" t="str">
        <f aca="false">IF(COUNT(P4:Q4)=0,"",AVERAGE(P4:Q4))</f>
        <v/>
      </c>
      <c r="AG4" s="7" t="str">
        <f aca="false">IF(A4="","",IF(UPPER(AB4)="Y","9 Graduated",IF(N(AA4)&gt;0,"8 Probation",IF(UPPER(Y4)="Y","7 Training done",IF(UPPER(U4)="Y","6 Agreement signed",IF(UPPER(T4)="Y","5 Identity verified",IF(UPPER(S4)="Y","4 Interviewed",IF(COUNT(P4:Q4)=2,"3 Reviewed",IF(UPPER(O4)="Y","2 Test taken",IF(UPPER(L4)="Y","1 Applied","0 Sourced"))))))))))</f>
        <v/>
      </c>
      <c r="AH4" s="7" t="str">
        <f aca="false">IF(A4="","",IF(AND(UPPER(L4)="Y",UPPER(O4)="Y",COUNT(P4:Q4)=2,UPPER(S4)="Y",UPPER(T4)="Y",UPPER(U4)="Y",UPPER(X4)="Y",UPPER(Y4)="Y"),"READY","Not yet"))</f>
        <v/>
      </c>
    </row>
    <row r="5" customFormat="false" ht="15" hidden="false" customHeight="false" outlineLevel="0" collapsed="false">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7" t="str">
        <f aca="false">IF(AND(ISNUMBER(P5),ISNUMBER(Q5)),ABS(P5-Q5),"")</f>
        <v/>
      </c>
      <c r="AF5" s="8" t="str">
        <f aca="false">IF(COUNT(P5:Q5)=0,"",AVERAGE(P5:Q5))</f>
        <v/>
      </c>
      <c r="AG5" s="7" t="str">
        <f aca="false">IF(A5="","",IF(UPPER(AB5)="Y","9 Graduated",IF(N(AA5)&gt;0,"8 Probation",IF(UPPER(Y5)="Y","7 Training done",IF(UPPER(U5)="Y","6 Agreement signed",IF(UPPER(T5)="Y","5 Identity verified",IF(UPPER(S5)="Y","4 Interviewed",IF(COUNT(P5:Q5)=2,"3 Reviewed",IF(UPPER(O5)="Y","2 Test taken",IF(UPPER(L5)="Y","1 Applied","0 Sourced"))))))))))</f>
        <v/>
      </c>
      <c r="AH5" s="7" t="str">
        <f aca="false">IF(A5="","",IF(AND(UPPER(L5)="Y",UPPER(O5)="Y",COUNT(P5:Q5)=2,UPPER(S5)="Y",UPPER(T5)="Y",UPPER(U5)="Y",UPPER(X5)="Y",UPPER(Y5)="Y"),"READY","Not yet"))</f>
        <v/>
      </c>
    </row>
    <row r="6" customFormat="false" ht="15" hidden="false" customHeight="false" outlineLevel="0" collapsed="false">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7" t="str">
        <f aca="false">IF(AND(ISNUMBER(P6),ISNUMBER(Q6)),ABS(P6-Q6),"")</f>
        <v/>
      </c>
      <c r="AF6" s="8" t="str">
        <f aca="false">IF(COUNT(P6:Q6)=0,"",AVERAGE(P6:Q6))</f>
        <v/>
      </c>
      <c r="AG6" s="7" t="str">
        <f aca="false">IF(A6="","",IF(UPPER(AB6)="Y","9 Graduated",IF(N(AA6)&gt;0,"8 Probation",IF(UPPER(Y6)="Y","7 Training done",IF(UPPER(U6)="Y","6 Agreement signed",IF(UPPER(T6)="Y","5 Identity verified",IF(UPPER(S6)="Y","4 Interviewed",IF(COUNT(P6:Q6)=2,"3 Reviewed",IF(UPPER(O6)="Y","2 Test taken",IF(UPPER(L6)="Y","1 Applied","0 Sourced"))))))))))</f>
        <v/>
      </c>
      <c r="AH6" s="7" t="str">
        <f aca="false">IF(A6="","",IF(AND(UPPER(L6)="Y",UPPER(O6)="Y",COUNT(P6:Q6)=2,UPPER(S6)="Y",UPPER(T6)="Y",UPPER(U6)="Y",UPPER(X6)="Y",UPPER(Y6)="Y"),"READY","Not yet"))</f>
        <v/>
      </c>
    </row>
    <row r="7" customFormat="false" ht="15" hidden="false" customHeight="false" outlineLevel="0" collapsed="false">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7" t="str">
        <f aca="false">IF(AND(ISNUMBER(P7),ISNUMBER(Q7)),ABS(P7-Q7),"")</f>
        <v/>
      </c>
      <c r="AF7" s="8" t="str">
        <f aca="false">IF(COUNT(P7:Q7)=0,"",AVERAGE(P7:Q7))</f>
        <v/>
      </c>
      <c r="AG7" s="7" t="str">
        <f aca="false">IF(A7="","",IF(UPPER(AB7)="Y","9 Graduated",IF(N(AA7)&gt;0,"8 Probation",IF(UPPER(Y7)="Y","7 Training done",IF(UPPER(U7)="Y","6 Agreement signed",IF(UPPER(T7)="Y","5 Identity verified",IF(UPPER(S7)="Y","4 Interviewed",IF(COUNT(P7:Q7)=2,"3 Reviewed",IF(UPPER(O7)="Y","2 Test taken",IF(UPPER(L7)="Y","1 Applied","0 Sourced"))))))))))</f>
        <v/>
      </c>
      <c r="AH7" s="7" t="str">
        <f aca="false">IF(A7="","",IF(AND(UPPER(L7)="Y",UPPER(O7)="Y",COUNT(P7:Q7)=2,UPPER(S7)="Y",UPPER(T7)="Y",UPPER(U7)="Y",UPPER(X7)="Y",UPPER(Y7)="Y"),"READY","Not yet"))</f>
        <v/>
      </c>
    </row>
    <row r="8" customFormat="false" ht="15" hidden="false" customHeight="false" outlineLevel="0" collapsed="false">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7" t="str">
        <f aca="false">IF(AND(ISNUMBER(P8),ISNUMBER(Q8)),ABS(P8-Q8),"")</f>
        <v/>
      </c>
      <c r="AF8" s="8" t="str">
        <f aca="false">IF(COUNT(P8:Q8)=0,"",AVERAGE(P8:Q8))</f>
        <v/>
      </c>
      <c r="AG8" s="7" t="str">
        <f aca="false">IF(A8="","",IF(UPPER(AB8)="Y","9 Graduated",IF(N(AA8)&gt;0,"8 Probation",IF(UPPER(Y8)="Y","7 Training done",IF(UPPER(U8)="Y","6 Agreement signed",IF(UPPER(T8)="Y","5 Identity verified",IF(UPPER(S8)="Y","4 Interviewed",IF(COUNT(P8:Q8)=2,"3 Reviewed",IF(UPPER(O8)="Y","2 Test taken",IF(UPPER(L8)="Y","1 Applied","0 Sourced"))))))))))</f>
        <v/>
      </c>
      <c r="AH8" s="7" t="str">
        <f aca="false">IF(A8="","",IF(AND(UPPER(L8)="Y",UPPER(O8)="Y",COUNT(P8:Q8)=2,UPPER(S8)="Y",UPPER(T8)="Y",UPPER(U8)="Y",UPPER(X8)="Y",UPPER(Y8)="Y"),"READY","Not yet"))</f>
        <v/>
      </c>
    </row>
    <row r="9" customFormat="false" ht="15" hidden="false" customHeight="false" outlineLevel="0" collapsed="false">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7" t="str">
        <f aca="false">IF(AND(ISNUMBER(P9),ISNUMBER(Q9)),ABS(P9-Q9),"")</f>
        <v/>
      </c>
      <c r="AF9" s="8" t="str">
        <f aca="false">IF(COUNT(P9:Q9)=0,"",AVERAGE(P9:Q9))</f>
        <v/>
      </c>
      <c r="AG9" s="7" t="str">
        <f aca="false">IF(A9="","",IF(UPPER(AB9)="Y","9 Graduated",IF(N(AA9)&gt;0,"8 Probation",IF(UPPER(Y9)="Y","7 Training done",IF(UPPER(U9)="Y","6 Agreement signed",IF(UPPER(T9)="Y","5 Identity verified",IF(UPPER(S9)="Y","4 Interviewed",IF(COUNT(P9:Q9)=2,"3 Reviewed",IF(UPPER(O9)="Y","2 Test taken",IF(UPPER(L9)="Y","1 Applied","0 Sourced"))))))))))</f>
        <v/>
      </c>
      <c r="AH9" s="7" t="str">
        <f aca="false">IF(A9="","",IF(AND(UPPER(L9)="Y",UPPER(O9)="Y",COUNT(P9:Q9)=2,UPPER(S9)="Y",UPPER(T9)="Y",UPPER(U9)="Y",UPPER(X9)="Y",UPPER(Y9)="Y"),"READY","Not yet"))</f>
        <v/>
      </c>
    </row>
    <row r="10" customFormat="false" ht="15" hidden="false" customHeight="false" outlineLevel="0" collapsed="false">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7" t="str">
        <f aca="false">IF(AND(ISNUMBER(P10),ISNUMBER(Q10)),ABS(P10-Q10),"")</f>
        <v/>
      </c>
      <c r="AF10" s="8" t="str">
        <f aca="false">IF(COUNT(P10:Q10)=0,"",AVERAGE(P10:Q10))</f>
        <v/>
      </c>
      <c r="AG10" s="7" t="str">
        <f aca="false">IF(A10="","",IF(UPPER(AB10)="Y","9 Graduated",IF(N(AA10)&gt;0,"8 Probation",IF(UPPER(Y10)="Y","7 Training done",IF(UPPER(U10)="Y","6 Agreement signed",IF(UPPER(T10)="Y","5 Identity verified",IF(UPPER(S10)="Y","4 Interviewed",IF(COUNT(P10:Q10)=2,"3 Reviewed",IF(UPPER(O10)="Y","2 Test taken",IF(UPPER(L10)="Y","1 Applied","0 Sourced"))))))))))</f>
        <v/>
      </c>
      <c r="AH10" s="7" t="str">
        <f aca="false">IF(A10="","",IF(AND(UPPER(L10)="Y",UPPER(O10)="Y",COUNT(P10:Q10)=2,UPPER(S10)="Y",UPPER(T10)="Y",UPPER(U10)="Y",UPPER(X10)="Y",UPPER(Y10)="Y"),"READY","Not yet"))</f>
        <v/>
      </c>
    </row>
    <row r="11" customFormat="false" ht="15" hidden="false" customHeight="false" outlineLevel="0" collapsed="false">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7" t="str">
        <f aca="false">IF(AND(ISNUMBER(P11),ISNUMBER(Q11)),ABS(P11-Q11),"")</f>
        <v/>
      </c>
      <c r="AF11" s="8" t="str">
        <f aca="false">IF(COUNT(P11:Q11)=0,"",AVERAGE(P11:Q11))</f>
        <v/>
      </c>
      <c r="AG11" s="7" t="str">
        <f aca="false">IF(A11="","",IF(UPPER(AB11)="Y","9 Graduated",IF(N(AA11)&gt;0,"8 Probation",IF(UPPER(Y11)="Y","7 Training done",IF(UPPER(U11)="Y","6 Agreement signed",IF(UPPER(T11)="Y","5 Identity verified",IF(UPPER(S11)="Y","4 Interviewed",IF(COUNT(P11:Q11)=2,"3 Reviewed",IF(UPPER(O11)="Y","2 Test taken",IF(UPPER(L11)="Y","1 Applied","0 Sourced"))))))))))</f>
        <v/>
      </c>
      <c r="AH11" s="7" t="str">
        <f aca="false">IF(A11="","",IF(AND(UPPER(L11)="Y",UPPER(O11)="Y",COUNT(P11:Q11)=2,UPPER(S11)="Y",UPPER(T11)="Y",UPPER(U11)="Y",UPPER(X11)="Y",UPPER(Y11)="Y"),"READY","Not yet"))</f>
        <v/>
      </c>
    </row>
    <row r="12" customFormat="false" ht="15" hidden="false" customHeight="false" outlineLevel="0" collapsed="false">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7" t="str">
        <f aca="false">IF(AND(ISNUMBER(P12),ISNUMBER(Q12)),ABS(P12-Q12),"")</f>
        <v/>
      </c>
      <c r="AF12" s="8" t="str">
        <f aca="false">IF(COUNT(P12:Q12)=0,"",AVERAGE(P12:Q12))</f>
        <v/>
      </c>
      <c r="AG12" s="7" t="str">
        <f aca="false">IF(A12="","",IF(UPPER(AB12)="Y","9 Graduated",IF(N(AA12)&gt;0,"8 Probation",IF(UPPER(Y12)="Y","7 Training done",IF(UPPER(U12)="Y","6 Agreement signed",IF(UPPER(T12)="Y","5 Identity verified",IF(UPPER(S12)="Y","4 Interviewed",IF(COUNT(P12:Q12)=2,"3 Reviewed",IF(UPPER(O12)="Y","2 Test taken",IF(UPPER(L12)="Y","1 Applied","0 Sourced"))))))))))</f>
        <v/>
      </c>
      <c r="AH12" s="7" t="str">
        <f aca="false">IF(A12="","",IF(AND(UPPER(L12)="Y",UPPER(O12)="Y",COUNT(P12:Q12)=2,UPPER(S12)="Y",UPPER(T12)="Y",UPPER(U12)="Y",UPPER(X12)="Y",UPPER(Y12)="Y"),"READY","Not yet"))</f>
        <v/>
      </c>
    </row>
    <row r="13" customFormat="false" ht="15" hidden="false" customHeight="false" outlineLevel="0" collapsed="false">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7" t="str">
        <f aca="false">IF(AND(ISNUMBER(P13),ISNUMBER(Q13)),ABS(P13-Q13),"")</f>
        <v/>
      </c>
      <c r="AF13" s="8" t="str">
        <f aca="false">IF(COUNT(P13:Q13)=0,"",AVERAGE(P13:Q13))</f>
        <v/>
      </c>
      <c r="AG13" s="7" t="str">
        <f aca="false">IF(A13="","",IF(UPPER(AB13)="Y","9 Graduated",IF(N(AA13)&gt;0,"8 Probation",IF(UPPER(Y13)="Y","7 Training done",IF(UPPER(U13)="Y","6 Agreement signed",IF(UPPER(T13)="Y","5 Identity verified",IF(UPPER(S13)="Y","4 Interviewed",IF(COUNT(P13:Q13)=2,"3 Reviewed",IF(UPPER(O13)="Y","2 Test taken",IF(UPPER(L13)="Y","1 Applied","0 Sourced"))))))))))</f>
        <v/>
      </c>
      <c r="AH13" s="7" t="str">
        <f aca="false">IF(A13="","",IF(AND(UPPER(L13)="Y",UPPER(O13)="Y",COUNT(P13:Q13)=2,UPPER(S13)="Y",UPPER(T13)="Y",UPPER(U13)="Y",UPPER(X13)="Y",UPPER(Y13)="Y"),"READY","Not yet"))</f>
        <v/>
      </c>
    </row>
    <row r="14" customFormat="false" ht="15" hidden="false" customHeight="false" outlineLevel="0" collapsed="false">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7" t="str">
        <f aca="false">IF(AND(ISNUMBER(P14),ISNUMBER(Q14)),ABS(P14-Q14),"")</f>
        <v/>
      </c>
      <c r="AF14" s="8" t="str">
        <f aca="false">IF(COUNT(P14:Q14)=0,"",AVERAGE(P14:Q14))</f>
        <v/>
      </c>
      <c r="AG14" s="7" t="str">
        <f aca="false">IF(A14="","",IF(UPPER(AB14)="Y","9 Graduated",IF(N(AA14)&gt;0,"8 Probation",IF(UPPER(Y14)="Y","7 Training done",IF(UPPER(U14)="Y","6 Agreement signed",IF(UPPER(T14)="Y","5 Identity verified",IF(UPPER(S14)="Y","4 Interviewed",IF(COUNT(P14:Q14)=2,"3 Reviewed",IF(UPPER(O14)="Y","2 Test taken",IF(UPPER(L14)="Y","1 Applied","0 Sourced"))))))))))</f>
        <v/>
      </c>
      <c r="AH14" s="7" t="str">
        <f aca="false">IF(A14="","",IF(AND(UPPER(L14)="Y",UPPER(O14)="Y",COUNT(P14:Q14)=2,UPPER(S14)="Y",UPPER(T14)="Y",UPPER(U14)="Y",UPPER(X14)="Y",UPPER(Y14)="Y"),"READY","Not yet"))</f>
        <v/>
      </c>
    </row>
    <row r="15" customFormat="false" ht="15" hidden="false" customHeight="false" outlineLevel="0" collapsed="false">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7" t="str">
        <f aca="false">IF(AND(ISNUMBER(P15),ISNUMBER(Q15)),ABS(P15-Q15),"")</f>
        <v/>
      </c>
      <c r="AF15" s="8" t="str">
        <f aca="false">IF(COUNT(P15:Q15)=0,"",AVERAGE(P15:Q15))</f>
        <v/>
      </c>
      <c r="AG15" s="7" t="str">
        <f aca="false">IF(A15="","",IF(UPPER(AB15)="Y","9 Graduated",IF(N(AA15)&gt;0,"8 Probation",IF(UPPER(Y15)="Y","7 Training done",IF(UPPER(U15)="Y","6 Agreement signed",IF(UPPER(T15)="Y","5 Identity verified",IF(UPPER(S15)="Y","4 Interviewed",IF(COUNT(P15:Q15)=2,"3 Reviewed",IF(UPPER(O15)="Y","2 Test taken",IF(UPPER(L15)="Y","1 Applied","0 Sourced"))))))))))</f>
        <v/>
      </c>
      <c r="AH15" s="7" t="str">
        <f aca="false">IF(A15="","",IF(AND(UPPER(L15)="Y",UPPER(O15)="Y",COUNT(P15:Q15)=2,UPPER(S15)="Y",UPPER(T15)="Y",UPPER(U15)="Y",UPPER(X15)="Y",UPPER(Y15)="Y"),"READY","Not yet"))</f>
        <v/>
      </c>
    </row>
    <row r="16" customFormat="false" ht="15" hidden="false" customHeight="false" outlineLevel="0" collapsed="false">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7" t="str">
        <f aca="false">IF(AND(ISNUMBER(P16),ISNUMBER(Q16)),ABS(P16-Q16),"")</f>
        <v/>
      </c>
      <c r="AF16" s="8" t="str">
        <f aca="false">IF(COUNT(P16:Q16)=0,"",AVERAGE(P16:Q16))</f>
        <v/>
      </c>
      <c r="AG16" s="7" t="str">
        <f aca="false">IF(A16="","",IF(UPPER(AB16)="Y","9 Graduated",IF(N(AA16)&gt;0,"8 Probation",IF(UPPER(Y16)="Y","7 Training done",IF(UPPER(U16)="Y","6 Agreement signed",IF(UPPER(T16)="Y","5 Identity verified",IF(UPPER(S16)="Y","4 Interviewed",IF(COUNT(P16:Q16)=2,"3 Reviewed",IF(UPPER(O16)="Y","2 Test taken",IF(UPPER(L16)="Y","1 Applied","0 Sourced"))))))))))</f>
        <v/>
      </c>
      <c r="AH16" s="7" t="str">
        <f aca="false">IF(A16="","",IF(AND(UPPER(L16)="Y",UPPER(O16)="Y",COUNT(P16:Q16)=2,UPPER(S16)="Y",UPPER(T16)="Y",UPPER(U16)="Y",UPPER(X16)="Y",UPPER(Y16)="Y"),"READY","Not yet"))</f>
        <v/>
      </c>
    </row>
    <row r="17" customFormat="false" ht="15" hidden="false" customHeight="false" outlineLevel="0" collapsed="false">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7" t="str">
        <f aca="false">IF(AND(ISNUMBER(P17),ISNUMBER(Q17)),ABS(P17-Q17),"")</f>
        <v/>
      </c>
      <c r="AF17" s="8" t="str">
        <f aca="false">IF(COUNT(P17:Q17)=0,"",AVERAGE(P17:Q17))</f>
        <v/>
      </c>
      <c r="AG17" s="7" t="str">
        <f aca="false">IF(A17="","",IF(UPPER(AB17)="Y","9 Graduated",IF(N(AA17)&gt;0,"8 Probation",IF(UPPER(Y17)="Y","7 Training done",IF(UPPER(U17)="Y","6 Agreement signed",IF(UPPER(T17)="Y","5 Identity verified",IF(UPPER(S17)="Y","4 Interviewed",IF(COUNT(P17:Q17)=2,"3 Reviewed",IF(UPPER(O17)="Y","2 Test taken",IF(UPPER(L17)="Y","1 Applied","0 Sourced"))))))))))</f>
        <v/>
      </c>
      <c r="AH17" s="7" t="str">
        <f aca="false">IF(A17="","",IF(AND(UPPER(L17)="Y",UPPER(O17)="Y",COUNT(P17:Q17)=2,UPPER(S17)="Y",UPPER(T17)="Y",UPPER(U17)="Y",UPPER(X17)="Y",UPPER(Y17)="Y"),"READY","Not yet"))</f>
        <v/>
      </c>
    </row>
    <row r="18" customFormat="false" ht="15" hidden="false" customHeight="false" outlineLevel="0" collapsed="false">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7" t="str">
        <f aca="false">IF(AND(ISNUMBER(P18),ISNUMBER(Q18)),ABS(P18-Q18),"")</f>
        <v/>
      </c>
      <c r="AF18" s="8" t="str">
        <f aca="false">IF(COUNT(P18:Q18)=0,"",AVERAGE(P18:Q18))</f>
        <v/>
      </c>
      <c r="AG18" s="7" t="str">
        <f aca="false">IF(A18="","",IF(UPPER(AB18)="Y","9 Graduated",IF(N(AA18)&gt;0,"8 Probation",IF(UPPER(Y18)="Y","7 Training done",IF(UPPER(U18)="Y","6 Agreement signed",IF(UPPER(T18)="Y","5 Identity verified",IF(UPPER(S18)="Y","4 Interviewed",IF(COUNT(P18:Q18)=2,"3 Reviewed",IF(UPPER(O18)="Y","2 Test taken",IF(UPPER(L18)="Y","1 Applied","0 Sourced"))))))))))</f>
        <v/>
      </c>
      <c r="AH18" s="7" t="str">
        <f aca="false">IF(A18="","",IF(AND(UPPER(L18)="Y",UPPER(O18)="Y",COUNT(P18:Q18)=2,UPPER(S18)="Y",UPPER(T18)="Y",UPPER(U18)="Y",UPPER(X18)="Y",UPPER(Y18)="Y"),"READY","Not yet"))</f>
        <v/>
      </c>
    </row>
  </sheetData>
  <dataValidations count="1">
    <dataValidation allowBlank="true" errorStyle="stop" operator="between" showDropDown="false" showErrorMessage="false" showInputMessage="false" sqref="B4:B18 K4:O18 S4:U18 X4:Z18 AB4:AC1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48"/>
  </cols>
  <sheetData>
    <row r="1" customFormat="false" ht="17.35" hidden="false" customHeight="false" outlineLevel="0" collapsed="false">
      <c r="A1" s="3" t="s">
        <v>41</v>
      </c>
    </row>
    <row r="3" customFormat="false" ht="15" hidden="false" customHeight="false" outlineLevel="0" collapsed="false">
      <c r="A3" s="9" t="s">
        <v>42</v>
      </c>
      <c r="B3" s="10" t="n">
        <f aca="false">COUNTA(Tracker!$A$4:$A$18)</f>
        <v>0</v>
      </c>
    </row>
    <row r="4" customFormat="false" ht="15" hidden="false" customHeight="false" outlineLevel="0" collapsed="false">
      <c r="A4" s="9" t="s">
        <v>43</v>
      </c>
      <c r="B4" s="10" t="n">
        <f aca="false">COUNTIF(Tracker!$B$4:$B$18,"Y")</f>
        <v>0</v>
      </c>
    </row>
    <row r="5" customFormat="false" ht="15" hidden="false" customHeight="false" outlineLevel="0" collapsed="false">
      <c r="A5" s="9" t="s">
        <v>44</v>
      </c>
      <c r="B5" s="10" t="n">
        <f aca="false">COUNTIF(Tracker!$B$4:$B$18,"N")</f>
        <v>0</v>
      </c>
    </row>
    <row r="6" customFormat="false" ht="15" hidden="false" customHeight="false" outlineLevel="0" collapsed="false">
      <c r="A6" s="9" t="s">
        <v>45</v>
      </c>
      <c r="B6" s="10" t="n">
        <f aca="false">COUNTIF(Tracker!$AH$4:$AH$18,"READY")</f>
        <v>0</v>
      </c>
    </row>
    <row r="7" customFormat="false" ht="15" hidden="false" customHeight="false" outlineLevel="0" collapsed="false">
      <c r="A7" s="9" t="s">
        <v>46</v>
      </c>
      <c r="B7" s="10" t="n">
        <f aca="false">COUNTIF(Tracker!$AC$4:$AC$18,"Y")</f>
        <v>0</v>
      </c>
    </row>
    <row r="9" customFormat="false" ht="15" hidden="false" customHeight="false" outlineLevel="0" collapsed="false">
      <c r="A9" s="9" t="s">
        <v>47</v>
      </c>
    </row>
    <row r="10" customFormat="false" ht="15" hidden="false" customHeight="false" outlineLevel="0" collapsed="false">
      <c r="A10" s="10" t="s">
        <v>48</v>
      </c>
      <c r="B10" s="10" t="str">
        <f aca="false">IF(AND(B3&gt;=3,B3&lt;=5),"OK",IF(B3&lt;3,"Too few","Above five: fine, but cap the pilot at two to four"))</f>
        <v>Too few</v>
      </c>
    </row>
    <row r="11" customFormat="false" ht="15" hidden="false" customHeight="false" outlineLevel="0" collapsed="false">
      <c r="A11" s="10" t="s">
        <v>49</v>
      </c>
      <c r="B11" s="10" t="str">
        <f aca="false">IF(B5&gt;=2,"OK","Need more outside candidates")</f>
        <v>Need more outside candidates</v>
      </c>
    </row>
    <row r="12" customFormat="false" ht="15" hidden="false" customHeight="false" outlineLevel="0" collapsed="false">
      <c r="A12" s="10" t="s">
        <v>50</v>
      </c>
      <c r="B12" s="10" t="str">
        <f aca="false">IF(AND(B6&gt;=2,B6&lt;=4),"OK",IF(B6&lt;2,"Not enough ready","More than four ready: choose"))</f>
        <v>Not enough ready</v>
      </c>
    </row>
    <row r="13" customFormat="false" ht="15" hidden="false" customHeight="false" outlineLevel="0" collapsed="false">
      <c r="A13" s="10" t="s">
        <v>51</v>
      </c>
      <c r="B13" s="10" t="str">
        <f aca="false">IF(AND(B7&gt;=2,B7&lt;=3),"OK","Review")</f>
        <v>Review</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6" min="1" style="0" width="16"/>
    <col collapsed="false" customWidth="true" hidden="false" outlineLevel="0" max="7" min="7" style="0" width="28"/>
    <col collapsed="false" customWidth="true" hidden="false" outlineLevel="0" max="21" min="8" style="0" width="16"/>
    <col collapsed="false" customWidth="true" hidden="false" outlineLevel="0" max="23" min="22" style="0" width="28"/>
    <col collapsed="false" customWidth="true" hidden="false" outlineLevel="0" max="29" min="24" style="0" width="16"/>
    <col collapsed="false" customWidth="true" hidden="false" outlineLevel="0" max="30" min="30" style="0" width="28"/>
    <col collapsed="false" customWidth="true" hidden="false" outlineLevel="0" max="34" min="31" style="0" width="16"/>
  </cols>
  <sheetData>
    <row r="1" customFormat="false" ht="17.35" hidden="false" customHeight="false" outlineLevel="0" collapsed="false">
      <c r="A1" s="3" t="s">
        <v>52</v>
      </c>
    </row>
    <row r="3" customFormat="false" ht="60" hidden="false" customHeight="true" outlineLevel="0" collapsed="false">
      <c r="A3" s="4" t="s">
        <v>7</v>
      </c>
      <c r="B3" s="4" t="s">
        <v>8</v>
      </c>
      <c r="C3" s="4" t="s">
        <v>9</v>
      </c>
      <c r="D3" s="4" t="s">
        <v>10</v>
      </c>
      <c r="E3" s="4" t="s">
        <v>11</v>
      </c>
      <c r="F3" s="4" t="s">
        <v>12</v>
      </c>
      <c r="G3" s="4" t="s">
        <v>13</v>
      </c>
      <c r="H3" s="4" t="s">
        <v>14</v>
      </c>
      <c r="I3" s="4" t="s">
        <v>15</v>
      </c>
      <c r="J3" s="4" t="s">
        <v>16</v>
      </c>
      <c r="K3" s="4" t="s">
        <v>17</v>
      </c>
      <c r="L3" s="4" t="s">
        <v>18</v>
      </c>
      <c r="M3" s="4" t="s">
        <v>19</v>
      </c>
      <c r="N3" s="4" t="s">
        <v>20</v>
      </c>
      <c r="O3" s="4" t="s">
        <v>21</v>
      </c>
      <c r="P3" s="4" t="s">
        <v>22</v>
      </c>
      <c r="Q3" s="4" t="s">
        <v>23</v>
      </c>
      <c r="R3" s="4" t="s">
        <v>24</v>
      </c>
      <c r="S3" s="4" t="s">
        <v>25</v>
      </c>
      <c r="T3" s="4" t="s">
        <v>26</v>
      </c>
      <c r="U3" s="4" t="s">
        <v>27</v>
      </c>
      <c r="V3" s="4" t="s">
        <v>28</v>
      </c>
      <c r="W3" s="4" t="s">
        <v>29</v>
      </c>
      <c r="X3" s="4" t="s">
        <v>30</v>
      </c>
      <c r="Y3" s="4" t="s">
        <v>31</v>
      </c>
      <c r="Z3" s="4" t="s">
        <v>32</v>
      </c>
      <c r="AA3" s="4" t="s">
        <v>33</v>
      </c>
      <c r="AB3" s="4" t="s">
        <v>34</v>
      </c>
      <c r="AC3" s="4" t="s">
        <v>35</v>
      </c>
      <c r="AD3" s="4" t="s">
        <v>36</v>
      </c>
      <c r="AE3" s="5" t="s">
        <v>37</v>
      </c>
      <c r="AF3" s="5" t="s">
        <v>38</v>
      </c>
      <c r="AG3" s="5" t="s">
        <v>39</v>
      </c>
      <c r="AH3" s="5" t="s">
        <v>40</v>
      </c>
    </row>
    <row r="4" customFormat="false" ht="15" hidden="false" customHeight="false" outlineLevel="0" collapsed="false">
      <c r="A4" s="6" t="s">
        <v>53</v>
      </c>
      <c r="B4" s="6" t="s">
        <v>54</v>
      </c>
      <c r="C4" s="6" t="s">
        <v>55</v>
      </c>
      <c r="D4" s="6" t="s">
        <v>56</v>
      </c>
      <c r="E4" s="6" t="s">
        <v>57</v>
      </c>
      <c r="F4" s="6" t="n">
        <v>8</v>
      </c>
      <c r="G4" s="6" t="s">
        <v>58</v>
      </c>
      <c r="H4" s="6" t="s">
        <v>59</v>
      </c>
      <c r="I4" s="6" t="s">
        <v>60</v>
      </c>
      <c r="J4" s="6" t="n">
        <v>12</v>
      </c>
      <c r="K4" s="6" t="s">
        <v>54</v>
      </c>
      <c r="L4" s="6" t="s">
        <v>54</v>
      </c>
      <c r="M4" s="6" t="s">
        <v>54</v>
      </c>
      <c r="N4" s="6" t="s">
        <v>54</v>
      </c>
      <c r="O4" s="6" t="s">
        <v>54</v>
      </c>
      <c r="P4" s="6" t="n">
        <v>84</v>
      </c>
      <c r="Q4" s="6" t="n">
        <v>80</v>
      </c>
      <c r="R4" s="6" t="n">
        <v>15</v>
      </c>
      <c r="S4" s="6" t="s">
        <v>54</v>
      </c>
      <c r="T4" s="6" t="s">
        <v>54</v>
      </c>
      <c r="U4" s="6" t="s">
        <v>54</v>
      </c>
      <c r="V4" s="6" t="s">
        <v>61</v>
      </c>
      <c r="W4" s="6" t="s">
        <v>62</v>
      </c>
      <c r="X4" s="6" t="s">
        <v>54</v>
      </c>
      <c r="Y4" s="6" t="s">
        <v>54</v>
      </c>
      <c r="Z4" s="6" t="s">
        <v>54</v>
      </c>
      <c r="AA4" s="6"/>
      <c r="AB4" s="6"/>
      <c r="AC4" s="6" t="s">
        <v>63</v>
      </c>
      <c r="AD4" s="6"/>
      <c r="AE4" s="7" t="n">
        <f aca="false">IF(AND(ISNUMBER(P4),ISNUMBER(Q4)),ABS(P4-Q4),"")</f>
        <v>4</v>
      </c>
      <c r="AF4" s="8" t="n">
        <f aca="false">IF(COUNT(P4:Q4)=0,"",AVERAGE(P4:Q4))</f>
        <v>82</v>
      </c>
      <c r="AG4" s="7" t="str">
        <f aca="false">IF(A4="","",IF(UPPER(AB4)="Y","9 Graduated",IF(N(AA4)&gt;0,"8 Probation",IF(UPPER(Y4)="Y","7 Training done",IF(UPPER(U4)="Y","6 Agreement signed",IF(UPPER(T4)="Y","5 Identity verified",IF(UPPER(S4)="Y","4 Interviewed",IF(COUNT(P4:Q4)=2,"3 Reviewed",IF(UPPER(O4)="Y","2 Test taken",IF(UPPER(L4)="Y","1 Applied","0 Sourced"))))))))))</f>
        <v>7 Training done</v>
      </c>
      <c r="AH4" s="7" t="str">
        <f aca="false">IF(A4="","",IF(AND(UPPER(L4)="Y",UPPER(O4)="Y",COUNT(P4:Q4)=2,UPPER(S4)="Y",UPPER(T4)="Y",UPPER(U4)="Y",UPPER(X4)="Y",UPPER(Y4)="Y"),"READY","Not yet"))</f>
        <v>READY</v>
      </c>
    </row>
    <row r="5" customFormat="false" ht="15" hidden="false" customHeight="false" outlineLevel="0" collapsed="false">
      <c r="A5" s="6" t="s">
        <v>64</v>
      </c>
      <c r="B5" s="6" t="s">
        <v>63</v>
      </c>
      <c r="C5" s="6" t="s">
        <v>65</v>
      </c>
      <c r="D5" s="6" t="s">
        <v>66</v>
      </c>
      <c r="E5" s="6" t="s">
        <v>67</v>
      </c>
      <c r="F5" s="6" t="n">
        <v>5</v>
      </c>
      <c r="G5" s="6" t="s">
        <v>68</v>
      </c>
      <c r="H5" s="6" t="s">
        <v>69</v>
      </c>
      <c r="I5" s="6" t="s">
        <v>70</v>
      </c>
      <c r="J5" s="6" t="n">
        <v>8</v>
      </c>
      <c r="K5" s="6" t="s">
        <v>63</v>
      </c>
      <c r="L5" s="6" t="s">
        <v>54</v>
      </c>
      <c r="M5" s="6"/>
      <c r="N5" s="6"/>
      <c r="O5" s="6" t="s">
        <v>54</v>
      </c>
      <c r="P5" s="6" t="n">
        <v>72</v>
      </c>
      <c r="Q5" s="6" t="n">
        <v>78</v>
      </c>
      <c r="R5" s="6"/>
      <c r="S5" s="6"/>
      <c r="T5" s="6"/>
      <c r="U5" s="6"/>
      <c r="V5" s="6"/>
      <c r="W5" s="6"/>
      <c r="X5" s="6"/>
      <c r="Y5" s="6"/>
      <c r="Z5" s="6"/>
      <c r="AA5" s="6"/>
      <c r="AB5" s="6"/>
      <c r="AC5" s="6" t="s">
        <v>54</v>
      </c>
      <c r="AD5" s="6" t="s">
        <v>71</v>
      </c>
      <c r="AE5" s="7" t="n">
        <f aca="false">IF(AND(ISNUMBER(P5),ISNUMBER(Q5)),ABS(P5-Q5),"")</f>
        <v>6</v>
      </c>
      <c r="AF5" s="8" t="n">
        <f aca="false">IF(COUNT(P5:Q5)=0,"",AVERAGE(P5:Q5))</f>
        <v>75</v>
      </c>
      <c r="AG5" s="7" t="str">
        <f aca="false">IF(A5="","",IF(UPPER(AB5)="Y","9 Graduated",IF(N(AA5)&gt;0,"8 Probation",IF(UPPER(Y5)="Y","7 Training done",IF(UPPER(U5)="Y","6 Agreement signed",IF(UPPER(T5)="Y","5 Identity verified",IF(UPPER(S5)="Y","4 Interviewed",IF(COUNT(P5:Q5)=2,"3 Reviewed",IF(UPPER(O5)="Y","2 Test taken",IF(UPPER(L5)="Y","1 Applied","0 Sourced"))))))))))</f>
        <v>3 Reviewed</v>
      </c>
      <c r="AH5" s="7" t="str">
        <f aca="false">IF(A5="","",IF(AND(UPPER(L5)="Y",UPPER(O5)="Y",COUNT(P5:Q5)=2,UPPER(S5)="Y",UPPER(T5)="Y",UPPER(U5)="Y",UPPER(X5)="Y",UPPER(Y5)="Y"),"READY","Not yet"))</f>
        <v>Not yet</v>
      </c>
    </row>
    <row r="6" customFormat="false" ht="15" hidden="false" customHeight="false" outlineLevel="0" collapsed="false">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7" t="str">
        <f aca="false">IF(AND(ISNUMBER(P6),ISNUMBER(Q6)),ABS(P6-Q6),"")</f>
        <v/>
      </c>
      <c r="AF6" s="8" t="str">
        <f aca="false">IF(COUNT(P6:Q6)=0,"",AVERAGE(P6:Q6))</f>
        <v/>
      </c>
      <c r="AG6" s="7" t="str">
        <f aca="false">IF(A6="","",IF(UPPER(AB6)="Y","9 Graduated",IF(N(AA6)&gt;0,"8 Probation",IF(UPPER(Y6)="Y","7 Training done",IF(UPPER(U6)="Y","6 Agreement signed",IF(UPPER(T6)="Y","5 Identity verified",IF(UPPER(S6)="Y","4 Interviewed",IF(COUNT(P6:Q6)=2,"3 Reviewed",IF(UPPER(O6)="Y","2 Test taken",IF(UPPER(L6)="Y","1 Applied","0 Sourced"))))))))))</f>
        <v/>
      </c>
      <c r="AH6" s="7" t="str">
        <f aca="false">IF(A6="","",IF(AND(UPPER(L6)="Y",UPPER(O6)="Y",COUNT(P6:Q6)=2,UPPER(S6)="Y",UPPER(T6)="Y",UPPER(U6)="Y",UPPER(X6)="Y",UPPER(Y6)="Y"),"READY","Not yet"))</f>
        <v/>
      </c>
    </row>
    <row r="7" customFormat="false" ht="15" hidden="false" customHeight="false" outlineLevel="0" collapsed="false">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7" t="str">
        <f aca="false">IF(AND(ISNUMBER(P7),ISNUMBER(Q7)),ABS(P7-Q7),"")</f>
        <v/>
      </c>
      <c r="AF7" s="8" t="str">
        <f aca="false">IF(COUNT(P7:Q7)=0,"",AVERAGE(P7:Q7))</f>
        <v/>
      </c>
      <c r="AG7" s="7" t="str">
        <f aca="false">IF(A7="","",IF(UPPER(AB7)="Y","9 Graduated",IF(N(AA7)&gt;0,"8 Probation",IF(UPPER(Y7)="Y","7 Training done",IF(UPPER(U7)="Y","6 Agreement signed",IF(UPPER(T7)="Y","5 Identity verified",IF(UPPER(S7)="Y","4 Interviewed",IF(COUNT(P7:Q7)=2,"3 Reviewed",IF(UPPER(O7)="Y","2 Test taken",IF(UPPER(L7)="Y","1 Applied","0 Sourced"))))))))))</f>
        <v/>
      </c>
      <c r="AH7" s="7" t="str">
        <f aca="false">IF(A7="","",IF(AND(UPPER(L7)="Y",UPPER(O7)="Y",COUNT(P7:Q7)=2,UPPER(S7)="Y",UPPER(T7)="Y",UPPER(U7)="Y",UPPER(X7)="Y",UPPER(Y7)="Y"),"READY","Not yet"))</f>
        <v/>
      </c>
    </row>
    <row r="8" customFormat="false" ht="15" hidden="false" customHeight="false" outlineLevel="0" collapsed="false">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7" t="str">
        <f aca="false">IF(AND(ISNUMBER(P8),ISNUMBER(Q8)),ABS(P8-Q8),"")</f>
        <v/>
      </c>
      <c r="AF8" s="8" t="str">
        <f aca="false">IF(COUNT(P8:Q8)=0,"",AVERAGE(P8:Q8))</f>
        <v/>
      </c>
      <c r="AG8" s="7" t="str">
        <f aca="false">IF(A8="","",IF(UPPER(AB8)="Y","9 Graduated",IF(N(AA8)&gt;0,"8 Probation",IF(UPPER(Y8)="Y","7 Training done",IF(UPPER(U8)="Y","6 Agreement signed",IF(UPPER(T8)="Y","5 Identity verified",IF(UPPER(S8)="Y","4 Interviewed",IF(COUNT(P8:Q8)=2,"3 Reviewed",IF(UPPER(O8)="Y","2 Test taken",IF(UPPER(L8)="Y","1 Applied","0 Sourced"))))))))))</f>
        <v/>
      </c>
      <c r="AH8" s="7" t="str">
        <f aca="false">IF(A8="","",IF(AND(UPPER(L8)="Y",UPPER(O8)="Y",COUNT(P8:Q8)=2,UPPER(S8)="Y",UPPER(T8)="Y",UPPER(U8)="Y",UPPER(X8)="Y",UPPER(Y8)="Y"),"READY","Not yet"))</f>
        <v/>
      </c>
    </row>
    <row r="9" customFormat="false" ht="15" hidden="false" customHeight="false" outlineLevel="0" collapsed="false">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7" t="str">
        <f aca="false">IF(AND(ISNUMBER(P9),ISNUMBER(Q9)),ABS(P9-Q9),"")</f>
        <v/>
      </c>
      <c r="AF9" s="8" t="str">
        <f aca="false">IF(COUNT(P9:Q9)=0,"",AVERAGE(P9:Q9))</f>
        <v/>
      </c>
      <c r="AG9" s="7" t="str">
        <f aca="false">IF(A9="","",IF(UPPER(AB9)="Y","9 Graduated",IF(N(AA9)&gt;0,"8 Probation",IF(UPPER(Y9)="Y","7 Training done",IF(UPPER(U9)="Y","6 Agreement signed",IF(UPPER(T9)="Y","5 Identity verified",IF(UPPER(S9)="Y","4 Interviewed",IF(COUNT(P9:Q9)=2,"3 Reviewed",IF(UPPER(O9)="Y","2 Test taken",IF(UPPER(L9)="Y","1 Applied","0 Sourced"))))))))))</f>
        <v/>
      </c>
      <c r="AH9" s="7" t="str">
        <f aca="false">IF(A9="","",IF(AND(UPPER(L9)="Y",UPPER(O9)="Y",COUNT(P9:Q9)=2,UPPER(S9)="Y",UPPER(T9)="Y",UPPER(U9)="Y",UPPER(X9)="Y",UPPER(Y9)="Y"),"READY","Not yet"))</f>
        <v/>
      </c>
    </row>
    <row r="10" customFormat="false" ht="15" hidden="false" customHeight="false" outlineLevel="0" collapsed="false">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7" t="str">
        <f aca="false">IF(AND(ISNUMBER(P10),ISNUMBER(Q10)),ABS(P10-Q10),"")</f>
        <v/>
      </c>
      <c r="AF10" s="8" t="str">
        <f aca="false">IF(COUNT(P10:Q10)=0,"",AVERAGE(P10:Q10))</f>
        <v/>
      </c>
      <c r="AG10" s="7" t="str">
        <f aca="false">IF(A10="","",IF(UPPER(AB10)="Y","9 Graduated",IF(N(AA10)&gt;0,"8 Probation",IF(UPPER(Y10)="Y","7 Training done",IF(UPPER(U10)="Y","6 Agreement signed",IF(UPPER(T10)="Y","5 Identity verified",IF(UPPER(S10)="Y","4 Interviewed",IF(COUNT(P10:Q10)=2,"3 Reviewed",IF(UPPER(O10)="Y","2 Test taken",IF(UPPER(L10)="Y","1 Applied","0 Sourced"))))))))))</f>
        <v/>
      </c>
      <c r="AH10" s="7" t="str">
        <f aca="false">IF(A10="","",IF(AND(UPPER(L10)="Y",UPPER(O10)="Y",COUNT(P10:Q10)=2,UPPER(S10)="Y",UPPER(T10)="Y",UPPER(U10)="Y",UPPER(X10)="Y",UPPER(Y10)="Y"),"READY","Not yet"))</f>
        <v/>
      </c>
    </row>
    <row r="11" customFormat="false" ht="15" hidden="false" customHeight="false" outlineLevel="0" collapsed="false">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7" t="str">
        <f aca="false">IF(AND(ISNUMBER(P11),ISNUMBER(Q11)),ABS(P11-Q11),"")</f>
        <v/>
      </c>
      <c r="AF11" s="8" t="str">
        <f aca="false">IF(COUNT(P11:Q11)=0,"",AVERAGE(P11:Q11))</f>
        <v/>
      </c>
      <c r="AG11" s="7" t="str">
        <f aca="false">IF(A11="","",IF(UPPER(AB11)="Y","9 Graduated",IF(N(AA11)&gt;0,"8 Probation",IF(UPPER(Y11)="Y","7 Training done",IF(UPPER(U11)="Y","6 Agreement signed",IF(UPPER(T11)="Y","5 Identity verified",IF(UPPER(S11)="Y","4 Interviewed",IF(COUNT(P11:Q11)=2,"3 Reviewed",IF(UPPER(O11)="Y","2 Test taken",IF(UPPER(L11)="Y","1 Applied","0 Sourced"))))))))))</f>
        <v/>
      </c>
      <c r="AH11" s="7" t="str">
        <f aca="false">IF(A11="","",IF(AND(UPPER(L11)="Y",UPPER(O11)="Y",COUNT(P11:Q11)=2,UPPER(S11)="Y",UPPER(T11)="Y",UPPER(U11)="Y",UPPER(X11)="Y",UPPER(Y11)="Y"),"READY","Not yet"))</f>
        <v/>
      </c>
    </row>
    <row r="12" customFormat="false" ht="15" hidden="false" customHeight="false" outlineLevel="0" collapsed="false">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7" t="str">
        <f aca="false">IF(AND(ISNUMBER(P12),ISNUMBER(Q12)),ABS(P12-Q12),"")</f>
        <v/>
      </c>
      <c r="AF12" s="8" t="str">
        <f aca="false">IF(COUNT(P12:Q12)=0,"",AVERAGE(P12:Q12))</f>
        <v/>
      </c>
      <c r="AG12" s="7" t="str">
        <f aca="false">IF(A12="","",IF(UPPER(AB12)="Y","9 Graduated",IF(N(AA12)&gt;0,"8 Probation",IF(UPPER(Y12)="Y","7 Training done",IF(UPPER(U12)="Y","6 Agreement signed",IF(UPPER(T12)="Y","5 Identity verified",IF(UPPER(S12)="Y","4 Interviewed",IF(COUNT(P12:Q12)=2,"3 Reviewed",IF(UPPER(O12)="Y","2 Test taken",IF(UPPER(L12)="Y","1 Applied","0 Sourced"))))))))))</f>
        <v/>
      </c>
      <c r="AH12" s="7" t="str">
        <f aca="false">IF(A12="","",IF(AND(UPPER(L12)="Y",UPPER(O12)="Y",COUNT(P12:Q12)=2,UPPER(S12)="Y",UPPER(T12)="Y",UPPER(U12)="Y",UPPER(X12)="Y",UPPER(Y12)="Y"),"READY","Not yet"))</f>
        <v/>
      </c>
    </row>
    <row r="13" customFormat="false" ht="15" hidden="false" customHeight="false" outlineLevel="0" collapsed="false">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7" t="str">
        <f aca="false">IF(AND(ISNUMBER(P13),ISNUMBER(Q13)),ABS(P13-Q13),"")</f>
        <v/>
      </c>
      <c r="AF13" s="8" t="str">
        <f aca="false">IF(COUNT(P13:Q13)=0,"",AVERAGE(P13:Q13))</f>
        <v/>
      </c>
      <c r="AG13" s="7" t="str">
        <f aca="false">IF(A13="","",IF(UPPER(AB13)="Y","9 Graduated",IF(N(AA13)&gt;0,"8 Probation",IF(UPPER(Y13)="Y","7 Training done",IF(UPPER(U13)="Y","6 Agreement signed",IF(UPPER(T13)="Y","5 Identity verified",IF(UPPER(S13)="Y","4 Interviewed",IF(COUNT(P13:Q13)=2,"3 Reviewed",IF(UPPER(O13)="Y","2 Test taken",IF(UPPER(L13)="Y","1 Applied","0 Sourced"))))))))))</f>
        <v/>
      </c>
      <c r="AH13" s="7" t="str">
        <f aca="false">IF(A13="","",IF(AND(UPPER(L13)="Y",UPPER(O13)="Y",COUNT(P13:Q13)=2,UPPER(S13)="Y",UPPER(T13)="Y",UPPER(U13)="Y",UPPER(X13)="Y",UPPER(Y13)="Y"),"READY","Not yet"))</f>
        <v/>
      </c>
    </row>
    <row r="14" customFormat="false" ht="15" hidden="false" customHeight="false" outlineLevel="0" collapsed="false">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7" t="str">
        <f aca="false">IF(AND(ISNUMBER(P14),ISNUMBER(Q14)),ABS(P14-Q14),"")</f>
        <v/>
      </c>
      <c r="AF14" s="8" t="str">
        <f aca="false">IF(COUNT(P14:Q14)=0,"",AVERAGE(P14:Q14))</f>
        <v/>
      </c>
      <c r="AG14" s="7" t="str">
        <f aca="false">IF(A14="","",IF(UPPER(AB14)="Y","9 Graduated",IF(N(AA14)&gt;0,"8 Probation",IF(UPPER(Y14)="Y","7 Training done",IF(UPPER(U14)="Y","6 Agreement signed",IF(UPPER(T14)="Y","5 Identity verified",IF(UPPER(S14)="Y","4 Interviewed",IF(COUNT(P14:Q14)=2,"3 Reviewed",IF(UPPER(O14)="Y","2 Test taken",IF(UPPER(L14)="Y","1 Applied","0 Sourced"))))))))))</f>
        <v/>
      </c>
      <c r="AH14" s="7" t="str">
        <f aca="false">IF(A14="","",IF(AND(UPPER(L14)="Y",UPPER(O14)="Y",COUNT(P14:Q14)=2,UPPER(S14)="Y",UPPER(T14)="Y",UPPER(U14)="Y",UPPER(X14)="Y",UPPER(Y14)="Y"),"READY","Not yet"))</f>
        <v/>
      </c>
    </row>
    <row r="15" customFormat="false" ht="15" hidden="false" customHeight="false" outlineLevel="0" collapsed="false">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7" t="str">
        <f aca="false">IF(AND(ISNUMBER(P15),ISNUMBER(Q15)),ABS(P15-Q15),"")</f>
        <v/>
      </c>
      <c r="AF15" s="8" t="str">
        <f aca="false">IF(COUNT(P15:Q15)=0,"",AVERAGE(P15:Q15))</f>
        <v/>
      </c>
      <c r="AG15" s="7" t="str">
        <f aca="false">IF(A15="","",IF(UPPER(AB15)="Y","9 Graduated",IF(N(AA15)&gt;0,"8 Probation",IF(UPPER(Y15)="Y","7 Training done",IF(UPPER(U15)="Y","6 Agreement signed",IF(UPPER(T15)="Y","5 Identity verified",IF(UPPER(S15)="Y","4 Interviewed",IF(COUNT(P15:Q15)=2,"3 Reviewed",IF(UPPER(O15)="Y","2 Test taken",IF(UPPER(L15)="Y","1 Applied","0 Sourced"))))))))))</f>
        <v/>
      </c>
      <c r="AH15" s="7" t="str">
        <f aca="false">IF(A15="","",IF(AND(UPPER(L15)="Y",UPPER(O15)="Y",COUNT(P15:Q15)=2,UPPER(S15)="Y",UPPER(T15)="Y",UPPER(U15)="Y",UPPER(X15)="Y",UPPER(Y15)="Y"),"READY","Not yet"))</f>
        <v/>
      </c>
    </row>
    <row r="16" customFormat="false" ht="15" hidden="false" customHeight="false" outlineLevel="0" collapsed="false">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7" t="str">
        <f aca="false">IF(AND(ISNUMBER(P16),ISNUMBER(Q16)),ABS(P16-Q16),"")</f>
        <v/>
      </c>
      <c r="AF16" s="8" t="str">
        <f aca="false">IF(COUNT(P16:Q16)=0,"",AVERAGE(P16:Q16))</f>
        <v/>
      </c>
      <c r="AG16" s="7" t="str">
        <f aca="false">IF(A16="","",IF(UPPER(AB16)="Y","9 Graduated",IF(N(AA16)&gt;0,"8 Probation",IF(UPPER(Y16)="Y","7 Training done",IF(UPPER(U16)="Y","6 Agreement signed",IF(UPPER(T16)="Y","5 Identity verified",IF(UPPER(S16)="Y","4 Interviewed",IF(COUNT(P16:Q16)=2,"3 Reviewed",IF(UPPER(O16)="Y","2 Test taken",IF(UPPER(L16)="Y","1 Applied","0 Sourced"))))))))))</f>
        <v/>
      </c>
      <c r="AH16" s="7" t="str">
        <f aca="false">IF(A16="","",IF(AND(UPPER(L16)="Y",UPPER(O16)="Y",COUNT(P16:Q16)=2,UPPER(S16)="Y",UPPER(T16)="Y",UPPER(U16)="Y",UPPER(X16)="Y",UPPER(Y16)="Y"),"READY","Not yet"))</f>
        <v/>
      </c>
    </row>
    <row r="17" customFormat="false" ht="15" hidden="false" customHeight="false" outlineLevel="0" collapsed="false">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7" t="str">
        <f aca="false">IF(AND(ISNUMBER(P17),ISNUMBER(Q17)),ABS(P17-Q17),"")</f>
        <v/>
      </c>
      <c r="AF17" s="8" t="str">
        <f aca="false">IF(COUNT(P17:Q17)=0,"",AVERAGE(P17:Q17))</f>
        <v/>
      </c>
      <c r="AG17" s="7" t="str">
        <f aca="false">IF(A17="","",IF(UPPER(AB17)="Y","9 Graduated",IF(N(AA17)&gt;0,"8 Probation",IF(UPPER(Y17)="Y","7 Training done",IF(UPPER(U17)="Y","6 Agreement signed",IF(UPPER(T17)="Y","5 Identity verified",IF(UPPER(S17)="Y","4 Interviewed",IF(COUNT(P17:Q17)=2,"3 Reviewed",IF(UPPER(O17)="Y","2 Test taken",IF(UPPER(L17)="Y","1 Applied","0 Sourced"))))))))))</f>
        <v/>
      </c>
      <c r="AH17" s="7" t="str">
        <f aca="false">IF(A17="","",IF(AND(UPPER(L17)="Y",UPPER(O17)="Y",COUNT(P17:Q17)=2,UPPER(S17)="Y",UPPER(T17)="Y",UPPER(U17)="Y",UPPER(X17)="Y",UPPER(Y17)="Y"),"READY","Not yet"))</f>
        <v/>
      </c>
    </row>
    <row r="18" customFormat="false" ht="15" hidden="false" customHeight="false" outlineLevel="0" collapsed="false">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7" t="str">
        <f aca="false">IF(AND(ISNUMBER(P18),ISNUMBER(Q18)),ABS(P18-Q18),"")</f>
        <v/>
      </c>
      <c r="AF18" s="8" t="str">
        <f aca="false">IF(COUNT(P18:Q18)=0,"",AVERAGE(P18:Q18))</f>
        <v/>
      </c>
      <c r="AG18" s="7" t="str">
        <f aca="false">IF(A18="","",IF(UPPER(AB18)="Y","9 Graduated",IF(N(AA18)&gt;0,"8 Probation",IF(UPPER(Y18)="Y","7 Training done",IF(UPPER(U18)="Y","6 Agreement signed",IF(UPPER(T18)="Y","5 Identity verified",IF(UPPER(S18)="Y","4 Interviewed",IF(COUNT(P18:Q18)=2,"3 Reviewed",IF(UPPER(O18)="Y","2 Test taken",IF(UPPER(L18)="Y","1 Applied","0 Sourced"))))))))))</f>
        <v/>
      </c>
      <c r="AH18" s="7" t="str">
        <f aca="false">IF(A18="","",IF(AND(UPPER(L18)="Y",UPPER(O18)="Y",COUNT(P18:Q18)=2,UPPER(S18)="Y",UPPER(T18)="Y",UPPER(U18)="Y",UPPER(X18)="Y",UPPER(Y18)="Y"),"READY","Not yet"))</f>
        <v/>
      </c>
    </row>
  </sheetData>
  <dataValidations count="1">
    <dataValidation allowBlank="true" errorStyle="stop" operator="between" showDropDown="false" showErrorMessage="false" showInputMessage="false" sqref="B4:B18 K4:O18 S4:U18 X4:Z18 AB4:AC1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48"/>
  </cols>
  <sheetData>
    <row r="1" customFormat="false" ht="17.35" hidden="false" customHeight="false" outlineLevel="0" collapsed="false">
      <c r="A1" s="3" t="s">
        <v>41</v>
      </c>
    </row>
    <row r="3" customFormat="false" ht="15" hidden="false" customHeight="false" outlineLevel="0" collapsed="false">
      <c r="A3" s="9" t="s">
        <v>42</v>
      </c>
      <c r="B3" s="10" t="n">
        <f aca="false">COUNTA('Example (synthetic)'!$A$4:$A$18)</f>
        <v>2</v>
      </c>
    </row>
    <row r="4" customFormat="false" ht="15" hidden="false" customHeight="false" outlineLevel="0" collapsed="false">
      <c r="A4" s="9" t="s">
        <v>43</v>
      </c>
      <c r="B4" s="10" t="n">
        <f aca="false">COUNTIF('Example (synthetic)'!$B$4:$B$18,"Y")</f>
        <v>1</v>
      </c>
    </row>
    <row r="5" customFormat="false" ht="15" hidden="false" customHeight="false" outlineLevel="0" collapsed="false">
      <c r="A5" s="9" t="s">
        <v>44</v>
      </c>
      <c r="B5" s="10" t="n">
        <f aca="false">COUNTIF('Example (synthetic)'!$B$4:$B$18,"N")</f>
        <v>1</v>
      </c>
    </row>
    <row r="6" customFormat="false" ht="15" hidden="false" customHeight="false" outlineLevel="0" collapsed="false">
      <c r="A6" s="9" t="s">
        <v>45</v>
      </c>
      <c r="B6" s="10" t="n">
        <f aca="false">COUNTIF('Example (synthetic)'!$AH$4:$AH$18,"READY")</f>
        <v>1</v>
      </c>
    </row>
    <row r="7" customFormat="false" ht="15" hidden="false" customHeight="false" outlineLevel="0" collapsed="false">
      <c r="A7" s="9" t="s">
        <v>46</v>
      </c>
      <c r="B7" s="10" t="n">
        <f aca="false">COUNTIF('Example (synthetic)'!$AC$4:$AC$18,"Y")</f>
        <v>1</v>
      </c>
    </row>
    <row r="9" customFormat="false" ht="15" hidden="false" customHeight="false" outlineLevel="0" collapsed="false">
      <c r="A9" s="9" t="s">
        <v>47</v>
      </c>
    </row>
    <row r="10" customFormat="false" ht="15" hidden="false" customHeight="false" outlineLevel="0" collapsed="false">
      <c r="A10" s="10" t="s">
        <v>48</v>
      </c>
      <c r="B10" s="10" t="str">
        <f aca="false">IF(AND(B3&gt;=3,B3&lt;=5),"OK",IF(B3&lt;3,"Too few","Above five: fine, but cap the pilot at two to four"))</f>
        <v>Too few</v>
      </c>
    </row>
    <row r="11" customFormat="false" ht="15" hidden="false" customHeight="false" outlineLevel="0" collapsed="false">
      <c r="A11" s="10" t="s">
        <v>49</v>
      </c>
      <c r="B11" s="10" t="str">
        <f aca="false">IF(B5&gt;=2,"OK","Need more outside candidates")</f>
        <v>Need more outside candidates</v>
      </c>
    </row>
    <row r="12" customFormat="false" ht="15" hidden="false" customHeight="false" outlineLevel="0" collapsed="false">
      <c r="A12" s="10" t="s">
        <v>50</v>
      </c>
      <c r="B12" s="10" t="str">
        <f aca="false">IF(AND(B6&gt;=2,B6&lt;=4),"OK",IF(B6&lt;2,"Not enough ready","More than four ready: choose"))</f>
        <v>Not enough ready</v>
      </c>
    </row>
    <row r="13" customFormat="false" ht="15" hidden="false" customHeight="false" outlineLevel="0" collapsed="false">
      <c r="A13" s="10" t="s">
        <v>51</v>
      </c>
      <c r="B13" s="10" t="str">
        <f aca="false">IF(AND(B7&gt;=2,B7&lt;=3),"OK","Review")</f>
        <v>Review</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2026-10-26T21:56:13Z</dcterms:created>
  <dc:creator>openpyxl</dc:creator>
  <dc:description/>
  <dc:language>en-US</dc:language>
  <cp:lastModifiedBy/>
  <dcterms:modified xsi:type="dcterms:W3CDTF">2026-10-26T21:56:13Z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