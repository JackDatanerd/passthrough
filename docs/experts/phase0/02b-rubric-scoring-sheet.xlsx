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Score sheet" sheetId="2" state="visible" r:id="rId4"/>
    <sheet name="Example (synthetic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<sst xmlns="http://schemas.openxmlformats.org/spreadsheetml/2006/main" count="122" uniqueCount="75">
  <si>
    <t xml:space="preserve">Rubric scoring sheet (product spec Appendix C)</t>
  </si>
  <si>
    <t xml:space="preserve">HOW TO USE</t>
  </si>
  <si>
    <t xml:space="preserve">1. Copy the "Score sheet" tab once per applicant. Use an applicant ID (for example APP-001), never a name.</t>
  </si>
  <si>
    <t xml:space="preserve">2. Each scorer fills their own column (D and E) with whole or half points from 0 to 5, independently.</t>
  </si>
  <si>
    <t xml:space="preserve">3. Compare. Column F shows the gap. If the gap is more than 0.5, discuss and agree a score in column H.</t>
  </si>
  <si>
    <t xml:space="preserve">4. Leave the Cover letter row blank if no cover letter was ordered. Blank cells are ignored by the average.</t>
  </si>
  <si>
    <t xml:space="preserve">5. Audit score = average of the agreed scores x 20 (spec Appendix C). A zero on Truthfulness fails the review whatever the average.</t>
  </si>
  <si>
    <t xml:space="preserve">6. The pass bar is blank on purpose: the spec does not give a sample-test pass score. Enter it in cell B8 of each Score sheet (same value as the Phase 0 gate sheet).</t>
  </si>
  <si>
    <t xml:space="preserve">COLOUR KEY</t>
  </si>
  <si>
    <t xml:space="preserve">Blue text = an input you type. Black = a formula. Yellow fill = a decision only the owner can make.</t>
  </si>
  <si>
    <t xml:space="preserve">SOURCE</t>
  </si>
  <si>
    <t xml:space="preserve">Dimensions and the 0 and 5 descriptions are copied from product spec v2.2 Appendix C. The 0.5 agreement tolerance is from spec section 13.3 (grader calibration).</t>
  </si>
  <si>
    <t xml:space="preserve">Score sheet</t>
  </si>
  <si>
    <t xml:space="preserve">Applicant ID</t>
  </si>
  <si>
    <t xml:space="preserve">Variant (A, B or C)</t>
  </si>
  <si>
    <t xml:space="preserve">Scorer 1 initials</t>
  </si>
  <si>
    <t xml:space="preserve">Scorer 2 initials</t>
  </si>
  <si>
    <t xml:space="preserve">Cover letter ordered? (Y/N)</t>
  </si>
  <si>
    <t xml:space="preserve">Test start and end time (applicant)</t>
  </si>
  <si>
    <t xml:space="preserve">Pass bar (audit score, 0 to 100)</t>
  </si>
  <si>
    <t xml:space="preserve">Dimension</t>
  </si>
  <si>
    <t xml:space="preserve">What a 5 looks like</t>
  </si>
  <si>
    <t xml:space="preserve">What a 0 looks like</t>
  </si>
  <si>
    <t xml:space="preserve">Scorer 1 (0-5)</t>
  </si>
  <si>
    <t xml:space="preserve">Scorer 2 (0-5)</t>
  </si>
  <si>
    <t xml:space="preserve">Gap</t>
  </si>
  <si>
    <t xml:space="preserve">Discuss?</t>
  </si>
  <si>
    <t xml:space="preserve">Agreed score (0-5)</t>
  </si>
  <si>
    <t xml:space="preserve">Comments</t>
  </si>
  <si>
    <t xml:space="preserve">Truthfulness</t>
  </si>
  <si>
    <t xml:space="preserve">Every claim is in the client's source or confirmed. New figures are marked as confirmation items.</t>
  </si>
  <si>
    <t xml:space="preserve">Invented or unsupported claims.</t>
  </si>
  <si>
    <t xml:space="preserve">Impact and clarity</t>
  </si>
  <si>
    <t xml:space="preserve">Action-first bullets that show a result, quantified where the client supplied numbers, no filler.</t>
  </si>
  <si>
    <t xml:space="preserve">A list of duties with no outcomes.</t>
  </si>
  <si>
    <t xml:space="preserve">Targeting</t>
  </si>
  <si>
    <t xml:space="preserve">Keywords from the job appear naturally in context; the order of content fits the target role.</t>
  </si>
  <si>
    <t xml:space="preserve">Generic or mismatched to the role.</t>
  </si>
  <si>
    <t xml:space="preserve">Structure and ATS safety</t>
  </si>
  <si>
    <t xml:space="preserve">Clean sections, conventional headings, consistent dates, passes the gate comfortably.</t>
  </si>
  <si>
    <t xml:space="preserve">Broken structure or elements that fail parsing.</t>
  </si>
  <si>
    <t xml:space="preserve">Language and tone</t>
  </si>
  <si>
    <t xml:space="preserve">Concise, consistent tense, correct spelling, the tone the client asked for.</t>
  </si>
  <si>
    <t xml:space="preserve">Errors, jargon or inconsistency.</t>
  </si>
  <si>
    <t xml:space="preserve">Regional fit</t>
  </si>
  <si>
    <t xml:space="preserve">Follows the conventions of the target region.</t>
  </si>
  <si>
    <t xml:space="preserve">Ignores the region (for example a photo where none is expected).</t>
  </si>
  <si>
    <t xml:space="preserve">Cover letter (if ordered)</t>
  </si>
  <si>
    <t xml:space="preserve">Leads with strengths, specific to the role, no confessing of gaps, consistent with the resume.</t>
  </si>
  <si>
    <t xml:space="preserve">Generic or negative.</t>
  </si>
  <si>
    <t xml:space="preserve">Responsiveness</t>
  </si>
  <si>
    <t xml:space="preserve">Reflects the client's note and answers; the change summary is clear.</t>
  </si>
  <si>
    <t xml:space="preserve">Ignores the brief.</t>
  </si>
  <si>
    <t xml:space="preserve">Scorer 1 audit score</t>
  </si>
  <si>
    <t xml:space="preserve">Scorer 2 audit score</t>
  </si>
  <si>
    <t xml:space="preserve">Agreed audit score</t>
  </si>
  <si>
    <t xml:space="preserve">Dimensions with a gap over 0.5, not yet agreed</t>
  </si>
  <si>
    <t xml:space="preserve">Truthfulness zero? (agreed, or either scorer)</t>
  </si>
  <si>
    <t xml:space="preserve">Result</t>
  </si>
  <si>
    <t xml:space="preserve">Truthfulness is the first dimension row. A zero there fails the review regardless of the average (spec Appendix C).</t>
  </si>
  <si>
    <t xml:space="preserve">Score sheet (EXAMPLE, synthetic values)</t>
  </si>
  <si>
    <t xml:space="preserve">APP-001</t>
  </si>
  <si>
    <t xml:space="preserve">A</t>
  </si>
  <si>
    <t xml:space="preserve">S1</t>
  </si>
  <si>
    <t xml:space="preserve">S2</t>
  </si>
  <si>
    <t xml:space="preserve">N</t>
  </si>
  <si>
    <t xml:space="preserve">10:05 to 11:32</t>
  </si>
  <si>
    <t xml:space="preserve">Example value only. Owner sets the real bar.</t>
  </si>
  <si>
    <t xml:space="preserve">All figures from the client note; 300% removed.</t>
  </si>
  <si>
    <t xml:space="preserve">Good outcomes; two bullets still duty-like.</t>
  </si>
  <si>
    <t xml:space="preserve">Keywords in context; summary could be more role-specific.</t>
  </si>
  <si>
    <t xml:space="preserve">Consistent tense.</t>
  </si>
  <si>
    <t xml:space="preserve">No DOB or photo.</t>
  </si>
  <si>
    <t xml:space="preserve">Not ordered</t>
  </si>
  <si>
    <t xml:space="preserve">Summary clear; one question was good.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</si>
</sst>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5" min="4" style="0" width="12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13</v>
      </c>
      <c r="B2" s="4"/>
    </row>
    <row r="3" customFormat="false" ht="15" hidden="false" customHeight="false" outlineLevel="0" collapsed="false">
      <c r="A3" s="2" t="s">
        <v>14</v>
      </c>
      <c r="B3" s="4"/>
    </row>
    <row r="4" customFormat="false" ht="15" hidden="false" customHeight="false" outlineLevel="0" collapsed="false">
      <c r="A4" s="2" t="s">
        <v>15</v>
      </c>
      <c r="B4" s="4"/>
    </row>
    <row r="5" customFormat="false" ht="15" hidden="false" customHeight="false" outlineLevel="0" collapsed="false">
      <c r="A5" s="2" t="s">
        <v>16</v>
      </c>
      <c r="B5" s="4"/>
    </row>
    <row r="6" customFormat="false" ht="15" hidden="false" customHeight="false" outlineLevel="0" collapsed="false">
      <c r="A6" s="2" t="s">
        <v>17</v>
      </c>
      <c r="B6" s="4"/>
    </row>
    <row r="7" customFormat="false" ht="15" hidden="false" customHeight="false" outlineLevel="0" collapsed="false">
      <c r="A7" s="2" t="s">
        <v>18</v>
      </c>
      <c r="B7" s="4"/>
    </row>
    <row r="8" customFormat="false" ht="15" hidden="false" customHeight="false" outlineLevel="0" collapsed="false">
      <c r="A8" s="2" t="s">
        <v>19</v>
      </c>
      <c r="B8" s="5"/>
    </row>
    <row r="10" customFormat="false" ht="23.85" hidden="false" customHeight="false" outlineLevel="0" collapsed="false">
      <c r="A10" s="6" t="s">
        <v>20</v>
      </c>
      <c r="B10" s="6" t="s">
        <v>21</v>
      </c>
      <c r="C10" s="6" t="s">
        <v>22</v>
      </c>
      <c r="D10" s="6" t="s">
        <v>23</v>
      </c>
      <c r="E10" s="6" t="s">
        <v>24</v>
      </c>
      <c r="F10" s="6" t="s">
        <v>25</v>
      </c>
      <c r="G10" s="6" t="s">
        <v>26</v>
      </c>
      <c r="H10" s="6" t="s">
        <v>27</v>
      </c>
      <c r="I10" s="6" t="s">
        <v>28</v>
      </c>
    </row>
    <row r="11" customFormat="false" ht="23.85" hidden="false" customHeight="false" outlineLevel="0" collapsed="false">
      <c r="A11" s="7" t="s">
        <v>29</v>
      </c>
      <c r="B11" s="7" t="s">
        <v>30</v>
      </c>
      <c r="C11" s="7" t="s">
        <v>31</v>
      </c>
      <c r="D11" s="8"/>
      <c r="E11" s="8"/>
      <c r="F11" s="9" t="str">
        <f aca="false">IF(AND(ISNUMBER(D11),ISNUMBER(E11)),ABS(D11-E11),"")</f>
        <v/>
      </c>
      <c r="G11" s="9" t="str">
        <f aca="false">IF(F11="","",IF(F11&gt;0.5,"Discuss","OK"))</f>
        <v/>
      </c>
      <c r="H11" s="8"/>
      <c r="I11" s="10"/>
    </row>
    <row r="12" customFormat="false" ht="23.85" hidden="false" customHeight="false" outlineLevel="0" collapsed="false">
      <c r="A12" s="7" t="s">
        <v>32</v>
      </c>
      <c r="B12" s="7" t="s">
        <v>33</v>
      </c>
      <c r="C12" s="7" t="s">
        <v>34</v>
      </c>
      <c r="D12" s="8"/>
      <c r="E12" s="8"/>
      <c r="F12" s="9" t="str">
        <f aca="false">IF(AND(ISNUMBER(D12),ISNUMBER(E12)),ABS(D12-E12),"")</f>
        <v/>
      </c>
      <c r="G12" s="9" t="str">
        <f aca="false">IF(F12="","",IF(F12&gt;0.5,"Discuss","OK"))</f>
        <v/>
      </c>
      <c r="H12" s="8"/>
      <c r="I12" s="10"/>
    </row>
    <row r="13" customFormat="false" ht="23.85" hidden="false" customHeight="false" outlineLevel="0" collapsed="false">
      <c r="A13" s="7" t="s">
        <v>35</v>
      </c>
      <c r="B13" s="7" t="s">
        <v>36</v>
      </c>
      <c r="C13" s="7" t="s">
        <v>37</v>
      </c>
      <c r="D13" s="8"/>
      <c r="E13" s="8"/>
      <c r="F13" s="9" t="str">
        <f aca="false">IF(AND(ISNUMBER(D13),ISNUMBER(E13)),ABS(D13-E13),"")</f>
        <v/>
      </c>
      <c r="G13" s="9" t="str">
        <f aca="false">IF(F13="","",IF(F13&gt;0.5,"Discuss","OK"))</f>
        <v/>
      </c>
      <c r="H13" s="8"/>
      <c r="I13" s="10"/>
    </row>
    <row r="14" customFormat="false" ht="23.85" hidden="false" customHeight="false" outlineLevel="0" collapsed="false">
      <c r="A14" s="7" t="s">
        <v>38</v>
      </c>
      <c r="B14" s="7" t="s">
        <v>39</v>
      </c>
      <c r="C14" s="7" t="s">
        <v>40</v>
      </c>
      <c r="D14" s="8"/>
      <c r="E14" s="8"/>
      <c r="F14" s="9" t="str">
        <f aca="false">IF(AND(ISNUMBER(D14),ISNUMBER(E14)),ABS(D14-E14),"")</f>
        <v/>
      </c>
      <c r="G14" s="9" t="str">
        <f aca="false">IF(F14="","",IF(F14&gt;0.5,"Discuss","OK"))</f>
        <v/>
      </c>
      <c r="H14" s="8"/>
      <c r="I14" s="10"/>
    </row>
    <row r="15" customFormat="false" ht="23.85" hidden="false" customHeight="false" outlineLevel="0" collapsed="false">
      <c r="A15" s="7" t="s">
        <v>41</v>
      </c>
      <c r="B15" s="7" t="s">
        <v>42</v>
      </c>
      <c r="C15" s="7" t="s">
        <v>43</v>
      </c>
      <c r="D15" s="8"/>
      <c r="E15" s="8"/>
      <c r="F15" s="9" t="str">
        <f aca="false">IF(AND(ISNUMBER(D15),ISNUMBER(E15)),ABS(D15-E15),"")</f>
        <v/>
      </c>
      <c r="G15" s="9" t="str">
        <f aca="false">IF(F15="","",IF(F15&gt;0.5,"Discuss","OK"))</f>
        <v/>
      </c>
      <c r="H15" s="8"/>
      <c r="I15" s="10"/>
    </row>
    <row r="16" customFormat="false" ht="23.85" hidden="false" customHeight="false" outlineLevel="0" collapsed="false">
      <c r="A16" s="7" t="s">
        <v>44</v>
      </c>
      <c r="B16" s="7" t="s">
        <v>45</v>
      </c>
      <c r="C16" s="7" t="s">
        <v>46</v>
      </c>
      <c r="D16" s="8"/>
      <c r="E16" s="8"/>
      <c r="F16" s="9" t="str">
        <f aca="false">IF(AND(ISNUMBER(D16),ISNUMBER(E16)),ABS(D16-E16),"")</f>
        <v/>
      </c>
      <c r="G16" s="9" t="str">
        <f aca="false">IF(F16="","",IF(F16&gt;0.5,"Discuss","OK"))</f>
        <v/>
      </c>
      <c r="H16" s="8"/>
      <c r="I16" s="10"/>
    </row>
    <row r="17" customFormat="false" ht="23.85" hidden="false" customHeight="false" outlineLevel="0" collapsed="false">
      <c r="A17" s="7" t="s">
        <v>47</v>
      </c>
      <c r="B17" s="7" t="s">
        <v>48</v>
      </c>
      <c r="C17" s="7" t="s">
        <v>49</v>
      </c>
      <c r="D17" s="8"/>
      <c r="E17" s="8"/>
      <c r="F17" s="9" t="str">
        <f aca="false">IF(AND(ISNUMBER(D17),ISNUMBER(E17)),ABS(D17-E17),"")</f>
        <v/>
      </c>
      <c r="G17" s="9" t="str">
        <f aca="false">IF(F17="","",IF(F17&gt;0.5,"Discuss","OK"))</f>
        <v/>
      </c>
      <c r="H17" s="8"/>
      <c r="I17" s="10"/>
    </row>
    <row r="18" customFormat="false" ht="23.85" hidden="false" customHeight="false" outlineLevel="0" collapsed="false">
      <c r="A18" s="7" t="s">
        <v>50</v>
      </c>
      <c r="B18" s="7" t="s">
        <v>51</v>
      </c>
      <c r="C18" s="7" t="s">
        <v>52</v>
      </c>
      <c r="D18" s="8"/>
      <c r="E18" s="8"/>
      <c r="F18" s="9" t="str">
        <f aca="false">IF(AND(ISNUMBER(D18),ISNUMBER(E18)),ABS(D18-E18),"")</f>
        <v/>
      </c>
      <c r="G18" s="9" t="str">
        <f aca="false">IF(F18="","",IF(F18&gt;0.5,"Discuss","OK"))</f>
        <v/>
      </c>
      <c r="H18" s="8"/>
      <c r="I18" s="10"/>
    </row>
    <row r="20" customFormat="false" ht="15" hidden="false" customHeight="false" outlineLevel="0" collapsed="false">
      <c r="A20" s="2" t="s">
        <v>53</v>
      </c>
      <c r="B20" s="11" t="str">
        <f aca="false">IF(COUNT(D11:D18)=0,"",AVERAGE(D11:D18)*20)</f>
        <v/>
      </c>
    </row>
    <row r="21" customFormat="false" ht="15" hidden="false" customHeight="false" outlineLevel="0" collapsed="false">
      <c r="A21" s="2" t="s">
        <v>54</v>
      </c>
      <c r="B21" s="11" t="str">
        <f aca="false">IF(COUNT(E11:E18)=0,"",AVERAGE(E11:E18)*20)</f>
        <v/>
      </c>
    </row>
    <row r="22" customFormat="false" ht="15" hidden="false" customHeight="false" outlineLevel="0" collapsed="false">
      <c r="A22" s="2" t="s">
        <v>55</v>
      </c>
      <c r="B22" s="11" t="str">
        <f aca="false">IF(COUNT(H11:H18)=0,"",AVERAGE(H11:H18)*20)</f>
        <v/>
      </c>
    </row>
    <row r="23" customFormat="false" ht="15" hidden="false" customHeight="false" outlineLevel="0" collapsed="false">
      <c r="A23" s="2" t="s">
        <v>56</v>
      </c>
      <c r="B23" s="11" t="n">
        <f aca="false">SUMPRODUCT((G11:G18="Discuss")*(H11:H18=""))</f>
        <v>0</v>
      </c>
    </row>
    <row r="24" customFormat="false" ht="15" hidden="false" customHeight="false" outlineLevel="0" collapsed="false">
      <c r="A24" s="2" t="s">
        <v>57</v>
      </c>
      <c r="B24" s="11" t="str">
        <f aca="false">IF(OR(H11=0,AND(ISNUMBER(D11),D11=0),AND(ISNUMBER(E11),E11=0)),"YES: automatic fail","No")</f>
        <v>YES: automatic fail</v>
      </c>
    </row>
    <row r="25" customFormat="false" ht="15" hidden="false" customHeight="false" outlineLevel="0" collapsed="false">
      <c r="A25" s="2" t="s">
        <v>58</v>
      </c>
      <c r="B25" s="11" t="str">
        <f aca="false">IF(B24="YES: automatic fail","FAIL (truthfulness 0)",IF(OR(B22="",B8=""),"Complete scores and set the pass bar",IF(B23&gt;0,"Agree the gaps first",IF(B22&gt;=B8,"PASS","BELOW BAR"))))</f>
        <v>FAIL (truthfulness 0)</v>
      </c>
    </row>
    <row r="27" customFormat="false" ht="15" hidden="false" customHeight="false" outlineLevel="0" collapsed="false">
      <c r="A27" s="12" t="s">
        <v>59</v>
      </c>
    </row>
  </sheetData>
  <dataValidations count="1">
    <dataValidation allowBlank="true" error="Enter a number from 0 to 5." errorStyle="stop" errorTitle="Score" operator="between" showDropDown="false" showErrorMessage="true" showInputMessage="false" sqref="D11:E18 H11:H18" type="decimal">
      <formula1>0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5" min="4" style="0" width="12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13</v>
      </c>
      <c r="B2" s="4" t="s">
        <v>61</v>
      </c>
    </row>
    <row r="3" customFormat="false" ht="15" hidden="false" customHeight="false" outlineLevel="0" collapsed="false">
      <c r="A3" s="2" t="s">
        <v>14</v>
      </c>
      <c r="B3" s="4" t="s">
        <v>62</v>
      </c>
    </row>
    <row r="4" customFormat="false" ht="15" hidden="false" customHeight="false" outlineLevel="0" collapsed="false">
      <c r="A4" s="2" t="s">
        <v>15</v>
      </c>
      <c r="B4" s="4" t="s">
        <v>63</v>
      </c>
    </row>
    <row r="5" customFormat="false" ht="15" hidden="false" customHeight="false" outlineLevel="0" collapsed="false">
      <c r="A5" s="2" t="s">
        <v>16</v>
      </c>
      <c r="B5" s="4" t="s">
        <v>64</v>
      </c>
    </row>
    <row r="6" customFormat="false" ht="15" hidden="false" customHeight="false" outlineLevel="0" collapsed="false">
      <c r="A6" s="2" t="s">
        <v>17</v>
      </c>
      <c r="B6" s="4" t="s">
        <v>65</v>
      </c>
    </row>
    <row r="7" customFormat="false" ht="15" hidden="false" customHeight="false" outlineLevel="0" collapsed="false">
      <c r="A7" s="2" t="s">
        <v>18</v>
      </c>
      <c r="B7" s="4" t="s">
        <v>66</v>
      </c>
    </row>
    <row r="8" customFormat="false" ht="15" hidden="false" customHeight="false" outlineLevel="0" collapsed="false">
      <c r="A8" s="2" t="s">
        <v>19</v>
      </c>
      <c r="B8" s="5" t="n">
        <v>70</v>
      </c>
      <c r="C8" s="12" t="s">
        <v>67</v>
      </c>
    </row>
    <row r="10" customFormat="false" ht="23.85" hidden="false" customHeight="false" outlineLevel="0" collapsed="false">
      <c r="A10" s="6" t="s">
        <v>20</v>
      </c>
      <c r="B10" s="6" t="s">
        <v>21</v>
      </c>
      <c r="C10" s="6" t="s">
        <v>22</v>
      </c>
      <c r="D10" s="6" t="s">
        <v>23</v>
      </c>
      <c r="E10" s="6" t="s">
        <v>24</v>
      </c>
      <c r="F10" s="6" t="s">
        <v>25</v>
      </c>
      <c r="G10" s="6" t="s">
        <v>26</v>
      </c>
      <c r="H10" s="6" t="s">
        <v>27</v>
      </c>
      <c r="I10" s="6" t="s">
        <v>28</v>
      </c>
    </row>
    <row r="11" customFormat="false" ht="23.85" hidden="false" customHeight="false" outlineLevel="0" collapsed="false">
      <c r="A11" s="7" t="s">
        <v>29</v>
      </c>
      <c r="B11" s="7" t="s">
        <v>30</v>
      </c>
      <c r="C11" s="7" t="s">
        <v>31</v>
      </c>
      <c r="D11" s="8" t="n">
        <v>4</v>
      </c>
      <c r="E11" s="8" t="n">
        <v>4</v>
      </c>
      <c r="F11" s="9" t="n">
        <f aca="false">IF(AND(ISNUMBER(D11),ISNUMBER(E11)),ABS(D11-E11),"")</f>
        <v>0</v>
      </c>
      <c r="G11" s="9" t="str">
        <f aca="false">IF(F11="","",IF(F11&gt;0.5,"Discuss","OK"))</f>
        <v>OK</v>
      </c>
      <c r="H11" s="8" t="n">
        <v>4</v>
      </c>
      <c r="I11" s="10" t="s">
        <v>68</v>
      </c>
    </row>
    <row r="12" customFormat="false" ht="23.85" hidden="false" customHeight="false" outlineLevel="0" collapsed="false">
      <c r="A12" s="7" t="s">
        <v>32</v>
      </c>
      <c r="B12" s="7" t="s">
        <v>33</v>
      </c>
      <c r="C12" s="7" t="s">
        <v>34</v>
      </c>
      <c r="D12" s="8" t="n">
        <v>4</v>
      </c>
      <c r="E12" s="8" t="n">
        <v>3.5</v>
      </c>
      <c r="F12" s="9" t="n">
        <f aca="false">IF(AND(ISNUMBER(D12),ISNUMBER(E12)),ABS(D12-E12),"")</f>
        <v>0.5</v>
      </c>
      <c r="G12" s="9" t="str">
        <f aca="false">IF(F12="","",IF(F12&gt;0.5,"Discuss","OK"))</f>
        <v>OK</v>
      </c>
      <c r="H12" s="8" t="n">
        <v>4</v>
      </c>
      <c r="I12" s="10" t="s">
        <v>69</v>
      </c>
    </row>
    <row r="13" customFormat="false" ht="23.85" hidden="false" customHeight="false" outlineLevel="0" collapsed="false">
      <c r="A13" s="7" t="s">
        <v>35</v>
      </c>
      <c r="B13" s="7" t="s">
        <v>36</v>
      </c>
      <c r="C13" s="7" t="s">
        <v>37</v>
      </c>
      <c r="D13" s="8" t="n">
        <v>3</v>
      </c>
      <c r="E13" s="8" t="n">
        <v>4</v>
      </c>
      <c r="F13" s="9" t="n">
        <f aca="false">IF(AND(ISNUMBER(D13),ISNUMBER(E13)),ABS(D13-E13),"")</f>
        <v>1</v>
      </c>
      <c r="G13" s="9" t="str">
        <f aca="false">IF(F13="","",IF(F13&gt;0.5,"Discuss","OK"))</f>
        <v>Discuss</v>
      </c>
      <c r="H13" s="8" t="n">
        <v>3.5</v>
      </c>
      <c r="I13" s="10" t="s">
        <v>70</v>
      </c>
    </row>
    <row r="14" customFormat="false" ht="23.85" hidden="false" customHeight="false" outlineLevel="0" collapsed="false">
      <c r="A14" s="7" t="s">
        <v>38</v>
      </c>
      <c r="B14" s="7" t="s">
        <v>39</v>
      </c>
      <c r="C14" s="7" t="s">
        <v>40</v>
      </c>
      <c r="D14" s="8" t="n">
        <v>5</v>
      </c>
      <c r="E14" s="8" t="n">
        <v>5</v>
      </c>
      <c r="F14" s="9" t="n">
        <f aca="false">IF(AND(ISNUMBER(D14),ISNUMBER(E14)),ABS(D14-E14),"")</f>
        <v>0</v>
      </c>
      <c r="G14" s="9" t="str">
        <f aca="false">IF(F14="","",IF(F14&gt;0.5,"Discuss","OK"))</f>
        <v>OK</v>
      </c>
      <c r="H14" s="8" t="n">
        <v>5</v>
      </c>
      <c r="I14" s="10"/>
    </row>
    <row r="15" customFormat="false" ht="23.85" hidden="false" customHeight="false" outlineLevel="0" collapsed="false">
      <c r="A15" s="7" t="s">
        <v>41</v>
      </c>
      <c r="B15" s="7" t="s">
        <v>42</v>
      </c>
      <c r="C15" s="7" t="s">
        <v>43</v>
      </c>
      <c r="D15" s="8" t="n">
        <v>4</v>
      </c>
      <c r="E15" s="8" t="n">
        <v>4</v>
      </c>
      <c r="F15" s="9" t="n">
        <f aca="false">IF(AND(ISNUMBER(D15),ISNUMBER(E15)),ABS(D15-E15),"")</f>
        <v>0</v>
      </c>
      <c r="G15" s="9" t="str">
        <f aca="false">IF(F15="","",IF(F15&gt;0.5,"Discuss","OK"))</f>
        <v>OK</v>
      </c>
      <c r="H15" s="8" t="n">
        <v>4</v>
      </c>
      <c r="I15" s="10" t="s">
        <v>71</v>
      </c>
    </row>
    <row r="16" customFormat="false" ht="23.85" hidden="false" customHeight="false" outlineLevel="0" collapsed="false">
      <c r="A16" s="7" t="s">
        <v>44</v>
      </c>
      <c r="B16" s="7" t="s">
        <v>45</v>
      </c>
      <c r="C16" s="7" t="s">
        <v>46</v>
      </c>
      <c r="D16" s="8" t="n">
        <v>5</v>
      </c>
      <c r="E16" s="8" t="n">
        <v>5</v>
      </c>
      <c r="F16" s="9" t="n">
        <f aca="false">IF(AND(ISNUMBER(D16),ISNUMBER(E16)),ABS(D16-E16),"")</f>
        <v>0</v>
      </c>
      <c r="G16" s="9" t="str">
        <f aca="false">IF(F16="","",IF(F16&gt;0.5,"Discuss","OK"))</f>
        <v>OK</v>
      </c>
      <c r="H16" s="8" t="n">
        <v>5</v>
      </c>
      <c r="I16" s="10" t="s">
        <v>72</v>
      </c>
    </row>
    <row r="17" customFormat="false" ht="23.85" hidden="false" customHeight="false" outlineLevel="0" collapsed="false">
      <c r="A17" s="7" t="s">
        <v>47</v>
      </c>
      <c r="B17" s="7" t="s">
        <v>48</v>
      </c>
      <c r="C17" s="7" t="s">
        <v>49</v>
      </c>
      <c r="D17" s="8"/>
      <c r="E17" s="8"/>
      <c r="F17" s="9" t="str">
        <f aca="false">IF(AND(ISNUMBER(D17),ISNUMBER(E17)),ABS(D17-E17),"")</f>
        <v/>
      </c>
      <c r="G17" s="9" t="str">
        <f aca="false">IF(F17="","",IF(F17&gt;0.5,"Discuss","OK"))</f>
        <v/>
      </c>
      <c r="H17" s="8"/>
      <c r="I17" s="10" t="s">
        <v>73</v>
      </c>
    </row>
    <row r="18" customFormat="false" ht="23.85" hidden="false" customHeight="false" outlineLevel="0" collapsed="false">
      <c r="A18" s="7" t="s">
        <v>50</v>
      </c>
      <c r="B18" s="7" t="s">
        <v>51</v>
      </c>
      <c r="C18" s="7" t="s">
        <v>52</v>
      </c>
      <c r="D18" s="8" t="n">
        <v>4</v>
      </c>
      <c r="E18" s="8" t="n">
        <v>4</v>
      </c>
      <c r="F18" s="9" t="n">
        <f aca="false">IF(AND(ISNUMBER(D18),ISNUMBER(E18)),ABS(D18-E18),"")</f>
        <v>0</v>
      </c>
      <c r="G18" s="9" t="str">
        <f aca="false">IF(F18="","",IF(F18&gt;0.5,"Discuss","OK"))</f>
        <v>OK</v>
      </c>
      <c r="H18" s="8" t="n">
        <v>4</v>
      </c>
      <c r="I18" s="10" t="s">
        <v>74</v>
      </c>
    </row>
    <row r="20" customFormat="false" ht="15" hidden="false" customHeight="false" outlineLevel="0" collapsed="false">
      <c r="A20" s="2" t="s">
        <v>53</v>
      </c>
      <c r="B20" s="11" t="n">
        <f aca="false">IF(COUNT(D11:D18)=0,"",AVERAGE(D11:D18)*20)</f>
        <v>82.8571428571429</v>
      </c>
    </row>
    <row r="21" customFormat="false" ht="15" hidden="false" customHeight="false" outlineLevel="0" collapsed="false">
      <c r="A21" s="2" t="s">
        <v>54</v>
      </c>
      <c r="B21" s="11" t="n">
        <f aca="false">IF(COUNT(E11:E18)=0,"",AVERAGE(E11:E18)*20)</f>
        <v>84.2857142857143</v>
      </c>
    </row>
    <row r="22" customFormat="false" ht="15" hidden="false" customHeight="false" outlineLevel="0" collapsed="false">
      <c r="A22" s="2" t="s">
        <v>55</v>
      </c>
      <c r="B22" s="11" t="n">
        <f aca="false">IF(COUNT(H11:H18)=0,"",AVERAGE(H11:H18)*20)</f>
        <v>84.2857142857143</v>
      </c>
    </row>
    <row r="23" customFormat="false" ht="15" hidden="false" customHeight="false" outlineLevel="0" collapsed="false">
      <c r="A23" s="2" t="s">
        <v>56</v>
      </c>
      <c r="B23" s="11" t="n">
        <f aca="false">SUMPRODUCT((G11:G18="Discuss")*(H11:H18=""))</f>
        <v>0</v>
      </c>
    </row>
    <row r="24" customFormat="false" ht="15" hidden="false" customHeight="false" outlineLevel="0" collapsed="false">
      <c r="A24" s="2" t="s">
        <v>57</v>
      </c>
      <c r="B24" s="11" t="str">
        <f aca="false">IF(OR(H11=0,AND(ISNUMBER(D11),D11=0),AND(ISNUMBER(E11),E11=0)),"YES: automatic fail","No")</f>
        <v>No</v>
      </c>
    </row>
    <row r="25" customFormat="false" ht="15" hidden="false" customHeight="false" outlineLevel="0" collapsed="false">
      <c r="A25" s="2" t="s">
        <v>58</v>
      </c>
      <c r="B25" s="11" t="str">
        <f aca="false">IF(B24="YES: automatic fail","FAIL (truthfulness 0)",IF(OR(B22="",B8=""),"Complete scores and set the pass bar",IF(B23&gt;0,"Agree the gaps first",IF(B22&gt;=B8,"PASS","BELOW BAR"))))</f>
        <v>PASS</v>
      </c>
    </row>
    <row r="27" customFormat="false" ht="15" hidden="false" customHeight="false" outlineLevel="0" collapsed="false">
      <c r="A27" s="12" t="s">
        <v>59</v>
      </c>
    </row>
  </sheetData>
  <dataValidations count="1">
    <dataValidation allowBlank="true" error="Enter a number from 0 to 5." errorStyle="stop" errorTitle="Score" operator="between" showDropDown="false" showErrorMessage="true" showInputMessage="false" sqref="D11:E18 H11:H18" type="decimal">
      <formula1>0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2026-10-26T18:49:01Z</dcterms:created>
  <dc:creator>openpyxl</dc:creator>
  <dc:description/>
  <dc:language>en-US</dc:language>
  <cp:lastModifiedBy/>
  <dcterms:modified xsi:type="dcterms:W3CDTF">2026-10-26T18:49:01Z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